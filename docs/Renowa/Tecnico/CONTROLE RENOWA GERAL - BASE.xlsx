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enan\Documents\RENOWA\2026\CONTROLE INTERNO\"/>
    </mc:Choice>
  </mc:AlternateContent>
  <bookViews>
    <workbookView xWindow="-120" yWindow="-120" windowWidth="20736" windowHeight="11160" tabRatio="909"/>
  </bookViews>
  <sheets>
    <sheet name="INICIO" sheetId="1" r:id="rId1"/>
    <sheet name="C R DOS SANTOS" sheetId="122" r:id="rId2"/>
    <sheet name="POESY AVIAMENTOS 0001-83" sheetId="120" r:id="rId3"/>
    <sheet name="POESY AVIAMENTOS 0001-37" sheetId="119" r:id="rId4"/>
    <sheet name="L. SOUZA" sheetId="121" r:id="rId5"/>
    <sheet name="JHAMBA LE COOK" sheetId="118" r:id="rId6"/>
    <sheet name="ELINETE JARDIM" sheetId="117" r:id="rId7"/>
    <sheet name="SAMUAH" sheetId="116" r:id="rId8"/>
    <sheet name="VALDIRENE DOS SANTOS" sheetId="115" r:id="rId9"/>
    <sheet name="KMRG" sheetId="114" r:id="rId10"/>
    <sheet name="JANE STER" sheetId="111" r:id="rId11"/>
    <sheet name="D.TSIANG" sheetId="113" r:id="rId12"/>
    <sheet name="REALZÃO IMP" sheetId="112" r:id="rId13"/>
    <sheet name="LOJAS MARIA" sheetId="110" r:id="rId14"/>
    <sheet name="V DOS SANTOS" sheetId="109" r:id="rId15"/>
    <sheet name="NAVIO SERVIÇOS" sheetId="108" r:id="rId16"/>
    <sheet name="GIULIANA CHRISTIELLE" sheetId="107" r:id="rId17"/>
    <sheet name="TATIANE VEGAS" sheetId="106" r:id="rId18"/>
    <sheet name="IPED" sheetId="105" r:id="rId19"/>
    <sheet name="ERICA SHIRLEY" sheetId="104" r:id="rId20"/>
    <sheet name="J L A HUNCA" sheetId="103" r:id="rId21"/>
    <sheet name="DF COMERCIO" sheetId="102" r:id="rId22"/>
    <sheet name="EVELINY MARIA" sheetId="101" r:id="rId23"/>
    <sheet name="MRC8" sheetId="100" r:id="rId24"/>
    <sheet name="W.LIMA" sheetId="99" r:id="rId25"/>
    <sheet name="REALZÃO MONICA" sheetId="98" r:id="rId26"/>
    <sheet name="CASA MIMO" sheetId="97" r:id="rId27"/>
    <sheet name="AMEI COMERCIO" sheetId="96" r:id="rId28"/>
    <sheet name="FRANK PAPELARIA" sheetId="95" r:id="rId29"/>
    <sheet name="W.CHUNMEI" sheetId="94" r:id="rId30"/>
    <sheet name="JANDERRUBEM" sheetId="93" r:id="rId31"/>
    <sheet name="BELL FIFI" sheetId="92" r:id="rId32"/>
    <sheet name="SUPER PART" sheetId="91" r:id="rId33"/>
    <sheet name="WRA" sheetId="90" r:id="rId34"/>
    <sheet name="RAPPY TOYS" sheetId="89" r:id="rId35"/>
    <sheet name="LACORDAIRE TELES" sheetId="88" r:id="rId36"/>
    <sheet name="GETULIO LIRA" sheetId="87" r:id="rId37"/>
    <sheet name="FLÁVIA COMERCIO" sheetId="86" r:id="rId38"/>
    <sheet name="MKS COMERCIO" sheetId="85" r:id="rId39"/>
    <sheet name="MAIS QUE MAKE SÃO LUIS" sheetId="84" r:id="rId40"/>
    <sheet name="MAIS QUE MAKE BURITICUPU" sheetId="83" r:id="rId41"/>
    <sheet name="PINK GLAMOUR" sheetId="82" r:id="rId42"/>
    <sheet name="COM. MARTINS E MARTINS" sheetId="81" r:id="rId43"/>
    <sheet name="FLAP KIDS" sheetId="80" r:id="rId44"/>
    <sheet name="SMART BUY" sheetId="79" r:id="rId45"/>
    <sheet name="EMBALEME COMERCIO" sheetId="78" r:id="rId46"/>
    <sheet name="DECAZZA COM" sheetId="77" r:id="rId47"/>
    <sheet name="CRIS KING BIJU" sheetId="76" r:id="rId48"/>
    <sheet name="COM. BRAS RAIMUNDO" sheetId="75" r:id="rId49"/>
    <sheet name="DISTR. GOMES LISBOA" sheetId="74" r:id="rId50"/>
    <sheet name="VERENA VAREJISTA" sheetId="73" r:id="rId51"/>
    <sheet name="LOJÃO CASA SILVA" sheetId="72" r:id="rId52"/>
    <sheet name="ALJATEC" sheetId="71" r:id="rId53"/>
    <sheet name="SKR BEZERRA" sheetId="70" r:id="rId54"/>
    <sheet name="FEST SHOW" sheetId="69" r:id="rId55"/>
    <sheet name="+ BAZAR" sheetId="68" r:id="rId56"/>
    <sheet name="SUPERMERCADO RODRIGUES" sheetId="67" r:id="rId57"/>
    <sheet name="COMERCIAL RONDONIA" sheetId="66" r:id="rId58"/>
    <sheet name="DELL REI" sheetId="65" r:id="rId59"/>
    <sheet name="2H VARIEDADES" sheetId="64" r:id="rId60"/>
    <sheet name="IVANETE JATAI" sheetId="63" r:id="rId61"/>
    <sheet name="FLAMBOYAN " sheetId="45" r:id="rId62"/>
    <sheet name="W SU" sheetId="62" r:id="rId63"/>
    <sheet name="MAIS QUE MAKE AÇAILANDIA" sheetId="10" r:id="rId64"/>
    <sheet name="MAIS QUE MAKE SANTAREM BIJU" sheetId="46" r:id="rId65"/>
    <sheet name="MAIS QUE MAKE VARZEA GRANDE" sheetId="47" r:id="rId66"/>
    <sheet name="MAIS QUE MAKE PARAUPEBAS" sheetId="48" r:id="rId67"/>
    <sheet name="MAIS QUE MAKE MARABÁ" sheetId="49" r:id="rId68"/>
    <sheet name="MAIS QUE MAKE IMPERATRIZ AT" sheetId="50" r:id="rId69"/>
    <sheet name="MAIS QUE MAKE ALTA FLORESTA" sheetId="51" r:id="rId70"/>
    <sheet name="MAIS QUE MAKE ALTAMIRA" sheetId="52" r:id="rId71"/>
    <sheet name="MAIS QUE MAKE ARAGUAINA" sheetId="53" r:id="rId72"/>
    <sheet name="MAIS QUE MAKE ITAITUBA" sheetId="54" r:id="rId73"/>
    <sheet name="MAIS QUE MAKE BALSAS" sheetId="55" r:id="rId74"/>
    <sheet name="CELL SOLLUTIONS" sheetId="56" r:id="rId75"/>
    <sheet name="MAIS QUE MAKE PARAUPEBAS AT" sheetId="57" r:id="rId76"/>
    <sheet name="MAIS QUE MAKE IMPERATRIZ " sheetId="58" r:id="rId77"/>
    <sheet name="MARIA DO PERPETUO SOCOORO" sheetId="59" r:id="rId78"/>
    <sheet name="CRIS MODAS" sheetId="60" r:id="rId79"/>
    <sheet name="MAIS QUE MAKE SANTAREM " sheetId="61" r:id="rId8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20" l="1"/>
  <c r="H8" i="120"/>
  <c r="H2" i="119"/>
  <c r="H26" i="77" l="1"/>
  <c r="H2" i="66" l="1"/>
  <c r="H23" i="77" l="1"/>
  <c r="H2" i="122" l="1"/>
  <c r="G92" i="122"/>
  <c r="B15" i="1" s="1"/>
  <c r="H89" i="122"/>
  <c r="H86" i="122"/>
  <c r="H83" i="122"/>
  <c r="H80" i="122"/>
  <c r="H77" i="122"/>
  <c r="H74" i="122"/>
  <c r="H71" i="122"/>
  <c r="H68" i="122"/>
  <c r="H65" i="122"/>
  <c r="H62" i="122"/>
  <c r="H59" i="122"/>
  <c r="H56" i="122"/>
  <c r="H53" i="122"/>
  <c r="H50" i="122"/>
  <c r="H47" i="122"/>
  <c r="H44" i="122"/>
  <c r="H41" i="122"/>
  <c r="H38" i="122"/>
  <c r="H35" i="122"/>
  <c r="H32" i="122"/>
  <c r="H29" i="122"/>
  <c r="H26" i="122"/>
  <c r="H23" i="122"/>
  <c r="H20" i="122"/>
  <c r="H17" i="122"/>
  <c r="H14" i="122"/>
  <c r="H11" i="122"/>
  <c r="H8" i="122"/>
  <c r="H5" i="122"/>
  <c r="H93" i="122" l="1"/>
  <c r="C15" i="1" s="1"/>
  <c r="H8" i="101" l="1"/>
  <c r="H2" i="121"/>
  <c r="H93" i="121" s="1"/>
  <c r="C40" i="1" s="1"/>
  <c r="G92" i="121"/>
  <c r="B40" i="1" s="1"/>
  <c r="H89" i="121"/>
  <c r="H86" i="121"/>
  <c r="H83" i="121"/>
  <c r="H80" i="121"/>
  <c r="H77" i="121"/>
  <c r="H74" i="121"/>
  <c r="H71" i="121"/>
  <c r="H68" i="121"/>
  <c r="H65" i="121"/>
  <c r="H62" i="121"/>
  <c r="H59" i="121"/>
  <c r="H56" i="121"/>
  <c r="H53" i="121"/>
  <c r="H50" i="121"/>
  <c r="H47" i="121"/>
  <c r="H44" i="121"/>
  <c r="H41" i="121"/>
  <c r="H38" i="121"/>
  <c r="H35" i="121"/>
  <c r="H32" i="121"/>
  <c r="H29" i="121"/>
  <c r="H26" i="121"/>
  <c r="H23" i="121"/>
  <c r="H20" i="121"/>
  <c r="H17" i="121"/>
  <c r="H14" i="121"/>
  <c r="H11" i="121"/>
  <c r="H8" i="121"/>
  <c r="H5" i="121"/>
  <c r="H20" i="77" l="1"/>
  <c r="H2" i="85"/>
  <c r="H5" i="88" l="1"/>
  <c r="H8" i="81" l="1"/>
  <c r="H17" i="45" l="1"/>
  <c r="H5" i="120"/>
  <c r="H11" i="77"/>
  <c r="H14" i="77"/>
  <c r="H5" i="81"/>
  <c r="H2" i="118" l="1"/>
  <c r="H2" i="120" l="1"/>
  <c r="G92" i="120"/>
  <c r="F7" i="1" s="1"/>
  <c r="H89" i="120"/>
  <c r="H86" i="120"/>
  <c r="H83" i="120"/>
  <c r="H80" i="120"/>
  <c r="H77" i="120"/>
  <c r="H74" i="120"/>
  <c r="H71" i="120"/>
  <c r="H68" i="120"/>
  <c r="H65" i="120"/>
  <c r="H62" i="120"/>
  <c r="H59" i="120"/>
  <c r="H56" i="120"/>
  <c r="H53" i="120"/>
  <c r="H50" i="120"/>
  <c r="H47" i="120"/>
  <c r="H44" i="120"/>
  <c r="H41" i="120"/>
  <c r="H38" i="120"/>
  <c r="H35" i="120"/>
  <c r="H32" i="120"/>
  <c r="H29" i="120"/>
  <c r="H26" i="120"/>
  <c r="H23" i="120"/>
  <c r="H20" i="120"/>
  <c r="H17" i="120"/>
  <c r="H14" i="120"/>
  <c r="H93" i="120" l="1"/>
  <c r="G7" i="1" s="1"/>
  <c r="G92" i="119" l="1"/>
  <c r="F6" i="1" s="1"/>
  <c r="H89" i="119"/>
  <c r="H86" i="119"/>
  <c r="H83" i="119"/>
  <c r="H80" i="119"/>
  <c r="H77" i="119"/>
  <c r="H74" i="119"/>
  <c r="H71" i="119"/>
  <c r="H68" i="119"/>
  <c r="H65" i="119"/>
  <c r="H62" i="119"/>
  <c r="H59" i="119"/>
  <c r="H56" i="119"/>
  <c r="H53" i="119"/>
  <c r="H50" i="119"/>
  <c r="H47" i="119"/>
  <c r="H44" i="119"/>
  <c r="H41" i="119"/>
  <c r="H38" i="119"/>
  <c r="H35" i="119"/>
  <c r="H32" i="119"/>
  <c r="H29" i="119"/>
  <c r="H26" i="119"/>
  <c r="H23" i="119"/>
  <c r="H20" i="119"/>
  <c r="H17" i="119"/>
  <c r="H14" i="119"/>
  <c r="H11" i="119"/>
  <c r="H8" i="119"/>
  <c r="H5" i="119"/>
  <c r="H93" i="119"/>
  <c r="G6" i="1" s="1"/>
  <c r="G92" i="118"/>
  <c r="F5" i="1" s="1"/>
  <c r="H89" i="118"/>
  <c r="H86" i="118"/>
  <c r="H83" i="118"/>
  <c r="H80" i="118"/>
  <c r="H77" i="118"/>
  <c r="H74" i="118"/>
  <c r="H71" i="118"/>
  <c r="H68" i="118"/>
  <c r="H65" i="118"/>
  <c r="H62" i="118"/>
  <c r="H59" i="118"/>
  <c r="H56" i="118"/>
  <c r="H53" i="118"/>
  <c r="H50" i="118"/>
  <c r="H47" i="118"/>
  <c r="H44" i="118"/>
  <c r="H41" i="118"/>
  <c r="H38" i="118"/>
  <c r="H35" i="118"/>
  <c r="H32" i="118"/>
  <c r="H29" i="118"/>
  <c r="H26" i="118"/>
  <c r="H23" i="118"/>
  <c r="H20" i="118"/>
  <c r="H17" i="118"/>
  <c r="H14" i="118"/>
  <c r="H11" i="118"/>
  <c r="H8" i="118"/>
  <c r="H5" i="118"/>
  <c r="H93" i="118"/>
  <c r="G5" i="1" s="1"/>
  <c r="H26" i="56" l="1"/>
  <c r="H23" i="56"/>
  <c r="H8" i="45" l="1"/>
  <c r="H8" i="56"/>
  <c r="H2" i="81"/>
  <c r="H5" i="45"/>
  <c r="H2" i="78"/>
  <c r="H11" i="78" l="1"/>
  <c r="H8" i="78"/>
  <c r="H2" i="92" l="1"/>
  <c r="H20" i="56" l="1"/>
  <c r="H17" i="56" l="1"/>
  <c r="H5" i="78" l="1"/>
  <c r="H2" i="56" l="1"/>
  <c r="H2" i="88"/>
  <c r="H2" i="68" l="1"/>
  <c r="C47" i="1" l="1"/>
  <c r="C45" i="1"/>
  <c r="C51" i="1"/>
  <c r="C35" i="1"/>
  <c r="C21" i="1"/>
  <c r="C53" i="1"/>
  <c r="C57" i="1"/>
  <c r="C46" i="1"/>
  <c r="C70" i="1"/>
  <c r="C76" i="1"/>
  <c r="C6" i="1"/>
  <c r="C27" i="1"/>
  <c r="C7" i="1"/>
  <c r="C42" i="1"/>
  <c r="C22" i="1"/>
  <c r="C16" i="1"/>
  <c r="C69" i="1"/>
  <c r="C30" i="1"/>
  <c r="C44" i="1"/>
  <c r="C52" i="1"/>
  <c r="C48" i="1"/>
  <c r="C59" i="1"/>
  <c r="C75" i="1"/>
  <c r="C63" i="1"/>
  <c r="C54" i="1"/>
  <c r="C55" i="1"/>
  <c r="C50" i="1"/>
  <c r="C60" i="1"/>
  <c r="C17" i="1"/>
  <c r="C56" i="1"/>
  <c r="C49" i="1" l="1"/>
  <c r="C58" i="1"/>
  <c r="C29" i="1"/>
  <c r="C32" i="1"/>
  <c r="C64" i="1"/>
  <c r="C77" i="1"/>
  <c r="C71" i="1"/>
  <c r="C36" i="1"/>
  <c r="C78" i="1"/>
  <c r="C31" i="1"/>
  <c r="C8" i="1"/>
  <c r="C10" i="1"/>
  <c r="C66" i="1"/>
  <c r="C79" i="1"/>
  <c r="C19" i="1"/>
  <c r="C38" i="1"/>
  <c r="C24" i="1"/>
  <c r="C34" i="1"/>
  <c r="C72" i="1"/>
  <c r="C33" i="1"/>
  <c r="C62" i="1"/>
  <c r="C20" i="1"/>
  <c r="C73" i="1"/>
  <c r="C43" i="1"/>
  <c r="C37" i="1"/>
  <c r="C65" i="1"/>
  <c r="C39" i="1"/>
  <c r="C74" i="1"/>
  <c r="C67" i="1"/>
  <c r="C26" i="1"/>
  <c r="H93" i="76"/>
  <c r="H93" i="79"/>
  <c r="H93" i="80"/>
  <c r="H93" i="82"/>
  <c r="H93" i="83"/>
  <c r="H93" i="84"/>
  <c r="H93" i="86"/>
  <c r="H93" i="87"/>
  <c r="H93" i="89"/>
  <c r="H93" i="90"/>
  <c r="H93" i="91"/>
  <c r="H93" i="93"/>
  <c r="H93" i="94"/>
  <c r="H93" i="95"/>
  <c r="H93" i="96"/>
  <c r="H93" i="97"/>
  <c r="H93" i="98"/>
  <c r="H93" i="99"/>
  <c r="H93" i="102"/>
  <c r="H93" i="103"/>
  <c r="H93" i="104"/>
  <c r="H93" i="105"/>
  <c r="H93" i="106"/>
  <c r="H93" i="107"/>
  <c r="H93" i="108"/>
  <c r="H93" i="109"/>
  <c r="H93" i="110"/>
  <c r="H93" i="111"/>
  <c r="H93" i="112"/>
  <c r="H93" i="113"/>
  <c r="H93" i="114"/>
  <c r="H93" i="115"/>
  <c r="H93" i="116"/>
  <c r="H93" i="117"/>
  <c r="H93" i="61"/>
  <c r="H93" i="60"/>
  <c r="H93" i="59"/>
  <c r="H93" i="58"/>
  <c r="H93" i="57"/>
  <c r="H93" i="55"/>
  <c r="H93" i="54"/>
  <c r="H93" i="53"/>
  <c r="H93" i="52"/>
  <c r="H93" i="51"/>
  <c r="H93" i="50"/>
  <c r="H93" i="49"/>
  <c r="H93" i="48"/>
  <c r="H93" i="47"/>
  <c r="H93" i="46"/>
  <c r="H93" i="10"/>
  <c r="H93" i="62"/>
  <c r="H93" i="63"/>
  <c r="H93" i="65"/>
  <c r="H93" i="67"/>
  <c r="H93" i="69"/>
  <c r="H93" i="74"/>
  <c r="H93" i="73"/>
  <c r="H93" i="72"/>
  <c r="H93" i="71"/>
  <c r="H93" i="64"/>
  <c r="H93" i="68"/>
  <c r="C5" i="1" s="1"/>
  <c r="H26" i="49"/>
  <c r="H5" i="49"/>
  <c r="H20" i="55"/>
  <c r="H29" i="53"/>
  <c r="H23" i="10"/>
  <c r="H56" i="45" l="1"/>
  <c r="H74" i="77"/>
  <c r="H47" i="77"/>
  <c r="H50" i="78"/>
  <c r="H2" i="91"/>
  <c r="H8" i="109"/>
  <c r="H11" i="111"/>
  <c r="H5" i="116"/>
  <c r="H2" i="115"/>
  <c r="H68" i="78" l="1"/>
  <c r="H17" i="72"/>
  <c r="G98" i="56" l="1"/>
  <c r="H92" i="56"/>
  <c r="G92" i="117" l="1"/>
  <c r="B26" i="1" s="1"/>
  <c r="H89" i="117"/>
  <c r="H86" i="117"/>
  <c r="H83" i="117"/>
  <c r="H80" i="117"/>
  <c r="H77" i="117"/>
  <c r="H74" i="117"/>
  <c r="H71" i="117"/>
  <c r="H68" i="117"/>
  <c r="H65" i="117"/>
  <c r="H62" i="117"/>
  <c r="H59" i="117"/>
  <c r="H56" i="117"/>
  <c r="H53" i="117"/>
  <c r="H50" i="117"/>
  <c r="H47" i="117"/>
  <c r="H44" i="117"/>
  <c r="H41" i="117"/>
  <c r="H38" i="117"/>
  <c r="H35" i="117"/>
  <c r="H32" i="117"/>
  <c r="H29" i="117"/>
  <c r="H26" i="117"/>
  <c r="H23" i="117"/>
  <c r="H20" i="117"/>
  <c r="H17" i="117"/>
  <c r="H14" i="117"/>
  <c r="H11" i="117"/>
  <c r="H8" i="117"/>
  <c r="H5" i="117"/>
  <c r="H2" i="117"/>
  <c r="H89" i="56" l="1"/>
  <c r="G92" i="116" l="1"/>
  <c r="B67" i="1" s="1"/>
  <c r="H89" i="116"/>
  <c r="H86" i="116"/>
  <c r="H83" i="116"/>
  <c r="H80" i="116"/>
  <c r="H77" i="116"/>
  <c r="H74" i="116"/>
  <c r="H71" i="116"/>
  <c r="H68" i="116"/>
  <c r="H65" i="116"/>
  <c r="H62" i="116"/>
  <c r="H59" i="116"/>
  <c r="H56" i="116"/>
  <c r="H53" i="116"/>
  <c r="H50" i="116"/>
  <c r="H47" i="116"/>
  <c r="H44" i="116"/>
  <c r="H41" i="116"/>
  <c r="H38" i="116"/>
  <c r="H35" i="116"/>
  <c r="H32" i="116"/>
  <c r="H29" i="116"/>
  <c r="H26" i="116"/>
  <c r="H23" i="116"/>
  <c r="H20" i="116"/>
  <c r="H17" i="116"/>
  <c r="H14" i="116"/>
  <c r="H11" i="116"/>
  <c r="H8" i="116"/>
  <c r="H2" i="116"/>
  <c r="H35" i="10" l="1"/>
  <c r="H38" i="53"/>
  <c r="H41" i="55"/>
  <c r="H38" i="54"/>
  <c r="H41" i="46"/>
  <c r="H44" i="84"/>
  <c r="H38" i="48"/>
  <c r="H44" i="50"/>
  <c r="H38" i="49"/>
  <c r="H26" i="52"/>
  <c r="H41" i="51"/>
  <c r="H29" i="47"/>
  <c r="H5" i="71" l="1"/>
  <c r="G92" i="115" l="1"/>
  <c r="B74" i="1" s="1"/>
  <c r="H89" i="115"/>
  <c r="H86" i="115"/>
  <c r="H83" i="115"/>
  <c r="H80" i="115"/>
  <c r="H77" i="115"/>
  <c r="H74" i="115"/>
  <c r="H71" i="115"/>
  <c r="H68" i="115"/>
  <c r="H65" i="115"/>
  <c r="H62" i="115"/>
  <c r="H59" i="115"/>
  <c r="H56" i="115"/>
  <c r="H53" i="115"/>
  <c r="H50" i="115"/>
  <c r="H47" i="115"/>
  <c r="H44" i="115"/>
  <c r="H41" i="115"/>
  <c r="H38" i="115"/>
  <c r="H35" i="115"/>
  <c r="H32" i="115"/>
  <c r="H29" i="115"/>
  <c r="H26" i="115"/>
  <c r="H23" i="115"/>
  <c r="H20" i="115"/>
  <c r="H17" i="115"/>
  <c r="H14" i="115"/>
  <c r="H11" i="115"/>
  <c r="H8" i="115"/>
  <c r="H5" i="115"/>
  <c r="G92" i="114"/>
  <c r="B39" i="1" s="1"/>
  <c r="H89" i="114"/>
  <c r="H86" i="114"/>
  <c r="H83" i="114"/>
  <c r="H80" i="114"/>
  <c r="H77" i="114"/>
  <c r="H74" i="114"/>
  <c r="H71" i="114"/>
  <c r="H68" i="114"/>
  <c r="H65" i="114"/>
  <c r="H62" i="114"/>
  <c r="H59" i="114"/>
  <c r="H56" i="114"/>
  <c r="H53" i="114"/>
  <c r="H50" i="114"/>
  <c r="H47" i="114"/>
  <c r="H44" i="114"/>
  <c r="H41" i="114"/>
  <c r="H38" i="114"/>
  <c r="H35" i="114"/>
  <c r="H32" i="114"/>
  <c r="H29" i="114"/>
  <c r="H26" i="114"/>
  <c r="H23" i="114"/>
  <c r="H20" i="114"/>
  <c r="H17" i="114"/>
  <c r="H14" i="114"/>
  <c r="H11" i="114"/>
  <c r="H8" i="114"/>
  <c r="H5" i="114"/>
  <c r="H2" i="114"/>
  <c r="G92" i="113" l="1"/>
  <c r="B20" i="1" s="1"/>
  <c r="H89" i="113"/>
  <c r="H86" i="113"/>
  <c r="H83" i="113"/>
  <c r="H80" i="113"/>
  <c r="H77" i="113"/>
  <c r="H74" i="113"/>
  <c r="H71" i="113"/>
  <c r="H68" i="113"/>
  <c r="H65" i="113"/>
  <c r="H62" i="113"/>
  <c r="H59" i="113"/>
  <c r="H56" i="113"/>
  <c r="H53" i="113"/>
  <c r="H50" i="113"/>
  <c r="H47" i="113"/>
  <c r="H44" i="113"/>
  <c r="H41" i="113"/>
  <c r="H38" i="113"/>
  <c r="H35" i="113"/>
  <c r="H32" i="113"/>
  <c r="H29" i="113"/>
  <c r="H26" i="113"/>
  <c r="H23" i="113"/>
  <c r="H20" i="113"/>
  <c r="H17" i="113"/>
  <c r="H14" i="113"/>
  <c r="H11" i="113"/>
  <c r="H8" i="113"/>
  <c r="H5" i="113"/>
  <c r="H2" i="113"/>
  <c r="G92" i="112" l="1"/>
  <c r="B65" i="1" s="1"/>
  <c r="H89" i="112"/>
  <c r="H86" i="112"/>
  <c r="H83" i="112"/>
  <c r="H80" i="112"/>
  <c r="H77" i="112"/>
  <c r="H74" i="112"/>
  <c r="H71" i="112"/>
  <c r="H68" i="112"/>
  <c r="H65" i="112"/>
  <c r="H62" i="112"/>
  <c r="H59" i="112"/>
  <c r="H56" i="112"/>
  <c r="H53" i="112"/>
  <c r="H50" i="112"/>
  <c r="H47" i="112"/>
  <c r="H44" i="112"/>
  <c r="H41" i="112"/>
  <c r="H38" i="112"/>
  <c r="H35" i="112"/>
  <c r="H32" i="112"/>
  <c r="H29" i="112"/>
  <c r="H26" i="112"/>
  <c r="H23" i="112"/>
  <c r="H20" i="112"/>
  <c r="H17" i="112"/>
  <c r="H14" i="112"/>
  <c r="H11" i="112"/>
  <c r="H8" i="112"/>
  <c r="H5" i="112"/>
  <c r="H2" i="112"/>
  <c r="H8" i="100" l="1"/>
  <c r="H5" i="106" l="1"/>
  <c r="H74" i="56" l="1"/>
  <c r="G92" i="111" l="1"/>
  <c r="B37" i="1" s="1"/>
  <c r="H89" i="111"/>
  <c r="H86" i="111"/>
  <c r="H83" i="111"/>
  <c r="H80" i="111"/>
  <c r="H77" i="111"/>
  <c r="H74" i="111"/>
  <c r="H71" i="111"/>
  <c r="H68" i="111"/>
  <c r="H65" i="111"/>
  <c r="H62" i="111"/>
  <c r="H59" i="111"/>
  <c r="H56" i="111"/>
  <c r="H53" i="111"/>
  <c r="H50" i="111"/>
  <c r="H47" i="111"/>
  <c r="H44" i="111"/>
  <c r="H41" i="111"/>
  <c r="H38" i="111"/>
  <c r="H35" i="111"/>
  <c r="H32" i="111"/>
  <c r="H29" i="111"/>
  <c r="H26" i="111"/>
  <c r="H23" i="111"/>
  <c r="H20" i="111"/>
  <c r="H17" i="111"/>
  <c r="H14" i="111"/>
  <c r="H8" i="111"/>
  <c r="H5" i="111"/>
  <c r="H2" i="111"/>
  <c r="G131" i="45" l="1"/>
  <c r="H116" i="45"/>
  <c r="H113" i="45"/>
  <c r="H110" i="45"/>
  <c r="H107" i="45"/>
  <c r="H125" i="45"/>
  <c r="H122" i="45"/>
  <c r="H119" i="45"/>
  <c r="G92" i="110"/>
  <c r="B43" i="1" s="1"/>
  <c r="H89" i="110"/>
  <c r="H86" i="110"/>
  <c r="H83" i="110"/>
  <c r="H80" i="110"/>
  <c r="H77" i="110"/>
  <c r="H74" i="110"/>
  <c r="H71" i="110"/>
  <c r="H68" i="110"/>
  <c r="H65" i="110"/>
  <c r="H62" i="110"/>
  <c r="H59" i="110"/>
  <c r="H56" i="110"/>
  <c r="H53" i="110"/>
  <c r="H50" i="110"/>
  <c r="H47" i="110"/>
  <c r="H44" i="110"/>
  <c r="H41" i="110"/>
  <c r="H38" i="110"/>
  <c r="H35" i="110"/>
  <c r="H32" i="110"/>
  <c r="H29" i="110"/>
  <c r="H26" i="110"/>
  <c r="H23" i="110"/>
  <c r="H20" i="110"/>
  <c r="H17" i="110"/>
  <c r="H14" i="110"/>
  <c r="H11" i="110"/>
  <c r="H8" i="110"/>
  <c r="H5" i="110"/>
  <c r="H2" i="110"/>
  <c r="G92" i="109" l="1"/>
  <c r="B73" i="1" s="1"/>
  <c r="H89" i="109"/>
  <c r="H86" i="109"/>
  <c r="H83" i="109"/>
  <c r="H80" i="109"/>
  <c r="H77" i="109"/>
  <c r="H74" i="109"/>
  <c r="H71" i="109"/>
  <c r="H68" i="109"/>
  <c r="H65" i="109"/>
  <c r="H62" i="109"/>
  <c r="H59" i="109"/>
  <c r="H56" i="109"/>
  <c r="H53" i="109"/>
  <c r="H50" i="109"/>
  <c r="H47" i="109"/>
  <c r="H44" i="109"/>
  <c r="H41" i="109"/>
  <c r="H38" i="109"/>
  <c r="H35" i="109"/>
  <c r="H32" i="109"/>
  <c r="H29" i="109"/>
  <c r="H26" i="109"/>
  <c r="H23" i="109"/>
  <c r="H20" i="109"/>
  <c r="H17" i="109"/>
  <c r="H14" i="109"/>
  <c r="H11" i="109"/>
  <c r="H5" i="109"/>
  <c r="H2" i="109"/>
  <c r="H101" i="45" l="1"/>
  <c r="H98" i="45"/>
  <c r="H104" i="45"/>
  <c r="H68" i="56" l="1"/>
  <c r="H11" i="72" l="1"/>
  <c r="H56" i="78"/>
  <c r="H65" i="56" l="1"/>
  <c r="H5" i="108" l="1"/>
  <c r="G92" i="108"/>
  <c r="B62" i="1" s="1"/>
  <c r="H89" i="108"/>
  <c r="H86" i="108"/>
  <c r="H83" i="108"/>
  <c r="H80" i="108"/>
  <c r="H77" i="108"/>
  <c r="H74" i="108"/>
  <c r="H71" i="108"/>
  <c r="H68" i="108"/>
  <c r="H65" i="108"/>
  <c r="H62" i="108"/>
  <c r="H59" i="108"/>
  <c r="H56" i="108"/>
  <c r="H53" i="108"/>
  <c r="H50" i="108"/>
  <c r="H47" i="108"/>
  <c r="H44" i="108"/>
  <c r="H41" i="108"/>
  <c r="H38" i="108"/>
  <c r="H35" i="108"/>
  <c r="H32" i="108"/>
  <c r="H29" i="108"/>
  <c r="H26" i="108"/>
  <c r="H23" i="108"/>
  <c r="H20" i="108"/>
  <c r="H17" i="108"/>
  <c r="H14" i="108"/>
  <c r="H11" i="108"/>
  <c r="H8" i="108"/>
  <c r="H2" i="108"/>
  <c r="H92" i="45" l="1"/>
  <c r="H89" i="45"/>
  <c r="H86" i="45"/>
  <c r="H83" i="45"/>
  <c r="H80" i="45"/>
  <c r="H77" i="45"/>
  <c r="H62" i="77"/>
  <c r="H11" i="92"/>
  <c r="H59" i="77" l="1"/>
  <c r="H56" i="56" l="1"/>
  <c r="H11" i="105"/>
  <c r="H8" i="105"/>
  <c r="H8" i="96" l="1"/>
  <c r="H5" i="107" l="1"/>
  <c r="H74" i="45" l="1"/>
  <c r="H2" i="107" l="1"/>
  <c r="G92" i="107"/>
  <c r="B33" i="1" s="1"/>
  <c r="H89" i="107"/>
  <c r="H86" i="107"/>
  <c r="H83" i="107"/>
  <c r="H80" i="107"/>
  <c r="H77" i="107"/>
  <c r="H74" i="107"/>
  <c r="H71" i="107"/>
  <c r="H68" i="107"/>
  <c r="H65" i="107"/>
  <c r="H62" i="107"/>
  <c r="H59" i="107"/>
  <c r="H56" i="107"/>
  <c r="H53" i="107"/>
  <c r="H50" i="107"/>
  <c r="H47" i="107"/>
  <c r="H44" i="107"/>
  <c r="H41" i="107"/>
  <c r="H38" i="107"/>
  <c r="H35" i="107"/>
  <c r="H32" i="107"/>
  <c r="H29" i="107"/>
  <c r="H26" i="107"/>
  <c r="H23" i="107"/>
  <c r="H20" i="107"/>
  <c r="H17" i="107"/>
  <c r="H14" i="107"/>
  <c r="H11" i="107"/>
  <c r="H8" i="107"/>
  <c r="H65" i="45" l="1"/>
  <c r="H11" i="102" l="1"/>
  <c r="H8" i="102"/>
  <c r="H2" i="106" l="1"/>
  <c r="G92" i="106"/>
  <c r="B72" i="1" s="1"/>
  <c r="H89" i="106"/>
  <c r="H86" i="106"/>
  <c r="H83" i="106"/>
  <c r="H80" i="106"/>
  <c r="H77" i="106"/>
  <c r="H74" i="106"/>
  <c r="H71" i="106"/>
  <c r="H68" i="106"/>
  <c r="H65" i="106"/>
  <c r="H62" i="106"/>
  <c r="H59" i="106"/>
  <c r="H56" i="106"/>
  <c r="H53" i="106"/>
  <c r="H50" i="106"/>
  <c r="H47" i="106"/>
  <c r="H44" i="106"/>
  <c r="H41" i="106"/>
  <c r="H38" i="106"/>
  <c r="H35" i="106"/>
  <c r="H32" i="106"/>
  <c r="H29" i="106"/>
  <c r="H26" i="106"/>
  <c r="H23" i="106"/>
  <c r="H20" i="106"/>
  <c r="H17" i="106"/>
  <c r="H14" i="106"/>
  <c r="H11" i="106"/>
  <c r="H8" i="106"/>
  <c r="H50" i="77" l="1"/>
  <c r="H5" i="105" l="1"/>
  <c r="H2" i="105"/>
  <c r="G92" i="105"/>
  <c r="B34" i="1" s="1"/>
  <c r="H89" i="105"/>
  <c r="H86" i="105"/>
  <c r="H83" i="105"/>
  <c r="H80" i="105"/>
  <c r="H77" i="105"/>
  <c r="H74" i="105"/>
  <c r="H71" i="105"/>
  <c r="H68" i="105"/>
  <c r="H65" i="105"/>
  <c r="H62" i="105"/>
  <c r="H59" i="105"/>
  <c r="H56" i="105"/>
  <c r="H53" i="105"/>
  <c r="H50" i="105"/>
  <c r="H47" i="105"/>
  <c r="H44" i="105"/>
  <c r="H41" i="105"/>
  <c r="H38" i="105"/>
  <c r="H35" i="105"/>
  <c r="H32" i="105"/>
  <c r="H29" i="105"/>
  <c r="H26" i="105"/>
  <c r="H23" i="105"/>
  <c r="H20" i="105"/>
  <c r="H17" i="105"/>
  <c r="H14" i="105"/>
  <c r="G92" i="104" l="1"/>
  <c r="B24" i="1" s="1"/>
  <c r="H89" i="104"/>
  <c r="H86" i="104"/>
  <c r="H83" i="104"/>
  <c r="H80" i="104"/>
  <c r="H77" i="104"/>
  <c r="H74" i="104"/>
  <c r="H71" i="104"/>
  <c r="H68" i="104"/>
  <c r="H65" i="104"/>
  <c r="H62" i="104"/>
  <c r="H59" i="104"/>
  <c r="H56" i="104"/>
  <c r="H53" i="104"/>
  <c r="H50" i="104"/>
  <c r="H47" i="104"/>
  <c r="H44" i="104"/>
  <c r="H41" i="104"/>
  <c r="H38" i="104"/>
  <c r="H35" i="104"/>
  <c r="H32" i="104"/>
  <c r="H29" i="104"/>
  <c r="H26" i="104"/>
  <c r="H23" i="104"/>
  <c r="H20" i="104"/>
  <c r="H17" i="104"/>
  <c r="H14" i="104"/>
  <c r="H11" i="104"/>
  <c r="H8" i="104"/>
  <c r="H5" i="104"/>
  <c r="H2" i="104"/>
  <c r="B38" i="1" l="1"/>
  <c r="G92" i="103"/>
  <c r="H89" i="103"/>
  <c r="H86" i="103"/>
  <c r="H83" i="103"/>
  <c r="H80" i="103"/>
  <c r="H77" i="103"/>
  <c r="H74" i="103"/>
  <c r="H71" i="103"/>
  <c r="H68" i="103"/>
  <c r="H65" i="103"/>
  <c r="H62" i="103"/>
  <c r="H59" i="103"/>
  <c r="H56" i="103"/>
  <c r="H53" i="103"/>
  <c r="H50" i="103"/>
  <c r="H47" i="103"/>
  <c r="H44" i="103"/>
  <c r="H41" i="103"/>
  <c r="H38" i="103"/>
  <c r="H35" i="103"/>
  <c r="H32" i="103"/>
  <c r="H29" i="103"/>
  <c r="H26" i="103"/>
  <c r="H23" i="103"/>
  <c r="H20" i="103"/>
  <c r="H17" i="103"/>
  <c r="H14" i="103"/>
  <c r="H11" i="103"/>
  <c r="H8" i="103"/>
  <c r="H5" i="103"/>
  <c r="H2" i="103"/>
  <c r="H8" i="85" l="1"/>
  <c r="H20" i="64" l="1"/>
  <c r="G92" i="102" l="1"/>
  <c r="B19" i="1" s="1"/>
  <c r="H89" i="102"/>
  <c r="H86" i="102"/>
  <c r="H83" i="102"/>
  <c r="H80" i="102"/>
  <c r="H77" i="102"/>
  <c r="H74" i="102"/>
  <c r="H71" i="102"/>
  <c r="H68" i="102"/>
  <c r="H65" i="102"/>
  <c r="H62" i="102"/>
  <c r="H59" i="102"/>
  <c r="H56" i="102"/>
  <c r="H53" i="102"/>
  <c r="H50" i="102"/>
  <c r="H47" i="102"/>
  <c r="H44" i="102"/>
  <c r="H41" i="102"/>
  <c r="H38" i="102"/>
  <c r="H35" i="102"/>
  <c r="H32" i="102"/>
  <c r="H29" i="102"/>
  <c r="H26" i="102"/>
  <c r="H23" i="102"/>
  <c r="H20" i="102"/>
  <c r="H17" i="102"/>
  <c r="H14" i="102"/>
  <c r="H5" i="102"/>
  <c r="H2" i="102"/>
  <c r="G92" i="101" l="1"/>
  <c r="B25" i="1" s="1"/>
  <c r="H89" i="101"/>
  <c r="H86" i="101"/>
  <c r="H83" i="101"/>
  <c r="H80" i="101"/>
  <c r="H77" i="101"/>
  <c r="H74" i="101"/>
  <c r="H71" i="101"/>
  <c r="H68" i="101"/>
  <c r="H65" i="101"/>
  <c r="H62" i="101"/>
  <c r="H59" i="101"/>
  <c r="H56" i="101"/>
  <c r="H53" i="101"/>
  <c r="H50" i="101"/>
  <c r="H47" i="101"/>
  <c r="H44" i="101"/>
  <c r="H41" i="101"/>
  <c r="H38" i="101"/>
  <c r="H35" i="101"/>
  <c r="H32" i="101"/>
  <c r="H29" i="101"/>
  <c r="H26" i="101"/>
  <c r="H23" i="101"/>
  <c r="H20" i="101"/>
  <c r="H17" i="101"/>
  <c r="H14" i="101"/>
  <c r="H11" i="101"/>
  <c r="H5" i="101"/>
  <c r="H2" i="101"/>
  <c r="H93" i="101" l="1"/>
  <c r="C25" i="1" s="1"/>
  <c r="H8" i="92"/>
  <c r="H5" i="92"/>
  <c r="H17" i="46" l="1"/>
  <c r="H44" i="56" l="1"/>
  <c r="H8" i="80" l="1"/>
  <c r="G92" i="100" l="1"/>
  <c r="B61" i="1" s="1"/>
  <c r="H89" i="100"/>
  <c r="H86" i="100"/>
  <c r="H83" i="100"/>
  <c r="H80" i="100"/>
  <c r="H77" i="100"/>
  <c r="H74" i="100"/>
  <c r="H71" i="100"/>
  <c r="H68" i="100"/>
  <c r="H65" i="100"/>
  <c r="H62" i="100"/>
  <c r="H59" i="100"/>
  <c r="H56" i="100"/>
  <c r="H53" i="100"/>
  <c r="H50" i="100"/>
  <c r="H47" i="100"/>
  <c r="H44" i="100"/>
  <c r="H41" i="100"/>
  <c r="H38" i="100"/>
  <c r="H35" i="100"/>
  <c r="H32" i="100"/>
  <c r="H29" i="100"/>
  <c r="H26" i="100"/>
  <c r="H23" i="100"/>
  <c r="H20" i="100"/>
  <c r="H17" i="100"/>
  <c r="H14" i="100"/>
  <c r="H11" i="100"/>
  <c r="H5" i="100"/>
  <c r="H2" i="100"/>
  <c r="H93" i="100" s="1"/>
  <c r="C61" i="1" s="1"/>
  <c r="H41" i="77" l="1"/>
  <c r="H38" i="77" l="1"/>
  <c r="H2" i="99" l="1"/>
  <c r="G92" i="99"/>
  <c r="B79" i="1" s="1"/>
  <c r="H89" i="99"/>
  <c r="H86" i="99"/>
  <c r="H83" i="99"/>
  <c r="H80" i="99"/>
  <c r="H77" i="99"/>
  <c r="H74" i="99"/>
  <c r="H71" i="99"/>
  <c r="H68" i="99"/>
  <c r="H65" i="99"/>
  <c r="H62" i="99"/>
  <c r="H59" i="99"/>
  <c r="H56" i="99"/>
  <c r="H53" i="99"/>
  <c r="H50" i="99"/>
  <c r="H47" i="99"/>
  <c r="H44" i="99"/>
  <c r="H41" i="99"/>
  <c r="H38" i="99"/>
  <c r="H35" i="99"/>
  <c r="H32" i="99"/>
  <c r="H29" i="99"/>
  <c r="H26" i="99"/>
  <c r="H23" i="99"/>
  <c r="H20" i="99"/>
  <c r="H17" i="99"/>
  <c r="H14" i="99"/>
  <c r="H11" i="99"/>
  <c r="H8" i="99"/>
  <c r="H5" i="99"/>
  <c r="H38" i="56" l="1"/>
  <c r="H8" i="97" l="1"/>
  <c r="H2" i="98"/>
  <c r="G92" i="98"/>
  <c r="B66" i="1" s="1"/>
  <c r="H89" i="98"/>
  <c r="H86" i="98"/>
  <c r="H83" i="98"/>
  <c r="H80" i="98"/>
  <c r="H77" i="98"/>
  <c r="H74" i="98"/>
  <c r="H71" i="98"/>
  <c r="H68" i="98"/>
  <c r="H65" i="98"/>
  <c r="H62" i="98"/>
  <c r="H59" i="98"/>
  <c r="H56" i="98"/>
  <c r="H53" i="98"/>
  <c r="H50" i="98"/>
  <c r="H47" i="98"/>
  <c r="H44" i="98"/>
  <c r="H41" i="98"/>
  <c r="H38" i="98"/>
  <c r="H35" i="98"/>
  <c r="H32" i="98"/>
  <c r="H29" i="98"/>
  <c r="H26" i="98"/>
  <c r="H23" i="98"/>
  <c r="H20" i="98"/>
  <c r="H17" i="98"/>
  <c r="H14" i="98"/>
  <c r="H11" i="98"/>
  <c r="H8" i="98"/>
  <c r="H5" i="98"/>
  <c r="H38" i="78"/>
  <c r="H17" i="81" l="1"/>
  <c r="H14" i="81" l="1"/>
  <c r="H35" i="78"/>
  <c r="H8" i="72"/>
  <c r="H5" i="72"/>
  <c r="H8" i="88"/>
  <c r="H53" i="45" l="1"/>
  <c r="H50" i="45"/>
  <c r="H2" i="97" l="1"/>
  <c r="G92" i="97"/>
  <c r="B10" i="1" s="1"/>
  <c r="H89" i="97"/>
  <c r="H86" i="97"/>
  <c r="H83" i="97"/>
  <c r="H80" i="97"/>
  <c r="H77" i="97"/>
  <c r="H74" i="97"/>
  <c r="H71" i="97"/>
  <c r="H68" i="97"/>
  <c r="H65" i="97"/>
  <c r="H62" i="97"/>
  <c r="H59" i="97"/>
  <c r="H56" i="97"/>
  <c r="H53" i="97"/>
  <c r="H50" i="97"/>
  <c r="H47" i="97"/>
  <c r="H44" i="97"/>
  <c r="H41" i="97"/>
  <c r="H38" i="97"/>
  <c r="H35" i="97"/>
  <c r="H32" i="97"/>
  <c r="H29" i="97"/>
  <c r="H26" i="97"/>
  <c r="H23" i="97"/>
  <c r="H20" i="97"/>
  <c r="H17" i="97"/>
  <c r="H14" i="97"/>
  <c r="H11" i="97"/>
  <c r="H5" i="97"/>
  <c r="H47" i="45" l="1"/>
  <c r="G92" i="96" l="1"/>
  <c r="B8" i="1" s="1"/>
  <c r="H89" i="96"/>
  <c r="H86" i="96"/>
  <c r="H83" i="96"/>
  <c r="H80" i="96"/>
  <c r="H77" i="96"/>
  <c r="H74" i="96"/>
  <c r="H71" i="96"/>
  <c r="H68" i="96"/>
  <c r="H65" i="96"/>
  <c r="H62" i="96"/>
  <c r="H59" i="96"/>
  <c r="H56" i="96"/>
  <c r="H53" i="96"/>
  <c r="H50" i="96"/>
  <c r="H47" i="96"/>
  <c r="H44" i="96"/>
  <c r="H41" i="96"/>
  <c r="H38" i="96"/>
  <c r="H35" i="96"/>
  <c r="H32" i="96"/>
  <c r="H29" i="96"/>
  <c r="H26" i="96"/>
  <c r="H23" i="96"/>
  <c r="H20" i="96"/>
  <c r="H17" i="96"/>
  <c r="H14" i="96"/>
  <c r="H11" i="96"/>
  <c r="H5" i="96"/>
  <c r="H2" i="96"/>
  <c r="H5" i="87"/>
  <c r="H5" i="95" l="1"/>
  <c r="H2" i="95"/>
  <c r="G92" i="95"/>
  <c r="B31" i="1" s="1"/>
  <c r="H89" i="95"/>
  <c r="H86" i="95"/>
  <c r="H83" i="95"/>
  <c r="H80" i="95"/>
  <c r="H77" i="95"/>
  <c r="H74" i="95"/>
  <c r="H71" i="95"/>
  <c r="H68" i="95"/>
  <c r="H65" i="95"/>
  <c r="H62" i="95"/>
  <c r="H59" i="95"/>
  <c r="H56" i="95"/>
  <c r="H53" i="95"/>
  <c r="H50" i="95"/>
  <c r="H47" i="95"/>
  <c r="H44" i="95"/>
  <c r="H41" i="95"/>
  <c r="H38" i="95"/>
  <c r="H35" i="95"/>
  <c r="H32" i="95"/>
  <c r="H29" i="95"/>
  <c r="H26" i="95"/>
  <c r="H23" i="95"/>
  <c r="H20" i="95"/>
  <c r="H17" i="95"/>
  <c r="H14" i="95"/>
  <c r="H11" i="95"/>
  <c r="H8" i="95"/>
  <c r="H2" i="94"/>
  <c r="G92" i="94"/>
  <c r="B78" i="1" s="1"/>
  <c r="H89" i="94"/>
  <c r="H86" i="94"/>
  <c r="H83" i="94"/>
  <c r="H80" i="94"/>
  <c r="H77" i="94"/>
  <c r="H74" i="94"/>
  <c r="H71" i="94"/>
  <c r="H68" i="94"/>
  <c r="H65" i="94"/>
  <c r="H62" i="94"/>
  <c r="H59" i="94"/>
  <c r="H56" i="94"/>
  <c r="H53" i="94"/>
  <c r="H50" i="94"/>
  <c r="H47" i="94"/>
  <c r="H44" i="94"/>
  <c r="H41" i="94"/>
  <c r="H38" i="94"/>
  <c r="H35" i="94"/>
  <c r="H32" i="94"/>
  <c r="H29" i="94"/>
  <c r="H26" i="94"/>
  <c r="H23" i="94"/>
  <c r="H20" i="94"/>
  <c r="H17" i="94"/>
  <c r="H14" i="94"/>
  <c r="H11" i="94"/>
  <c r="H8" i="94"/>
  <c r="H5" i="94"/>
  <c r="G92" i="93" l="1"/>
  <c r="B36" i="1" s="1"/>
  <c r="H89" i="93"/>
  <c r="H86" i="93"/>
  <c r="H83" i="93"/>
  <c r="H80" i="93"/>
  <c r="H77" i="93"/>
  <c r="H74" i="93"/>
  <c r="H71" i="93"/>
  <c r="H68" i="93"/>
  <c r="H65" i="93"/>
  <c r="H62" i="93"/>
  <c r="H59" i="93"/>
  <c r="H56" i="93"/>
  <c r="H53" i="93"/>
  <c r="H50" i="93"/>
  <c r="H47" i="93"/>
  <c r="H44" i="93"/>
  <c r="H41" i="93"/>
  <c r="H38" i="93"/>
  <c r="H35" i="93"/>
  <c r="H32" i="93"/>
  <c r="H29" i="93"/>
  <c r="H26" i="93"/>
  <c r="H23" i="93"/>
  <c r="H20" i="93"/>
  <c r="H17" i="93"/>
  <c r="H14" i="93"/>
  <c r="H11" i="93"/>
  <c r="H8" i="93"/>
  <c r="H5" i="93"/>
  <c r="H2" i="93"/>
  <c r="H14" i="84" l="1"/>
  <c r="H11" i="84"/>
  <c r="H93" i="92" l="1"/>
  <c r="C9" i="1" s="1"/>
  <c r="G92" i="92"/>
  <c r="B9" i="1" s="1"/>
  <c r="H89" i="92"/>
  <c r="H86" i="92"/>
  <c r="H83" i="92"/>
  <c r="H80" i="92"/>
  <c r="H77" i="92"/>
  <c r="H74" i="92"/>
  <c r="H71" i="92"/>
  <c r="H68" i="92"/>
  <c r="H65" i="92"/>
  <c r="H62" i="92"/>
  <c r="H59" i="92"/>
  <c r="H56" i="92"/>
  <c r="H53" i="92"/>
  <c r="H50" i="92"/>
  <c r="H47" i="92"/>
  <c r="H44" i="92"/>
  <c r="H41" i="92"/>
  <c r="H38" i="92"/>
  <c r="H35" i="92"/>
  <c r="H32" i="92"/>
  <c r="H29" i="92"/>
  <c r="H26" i="92"/>
  <c r="H23" i="92"/>
  <c r="H20" i="92"/>
  <c r="H17" i="92"/>
  <c r="H14" i="92"/>
  <c r="H29" i="77"/>
  <c r="H35" i="45" l="1"/>
  <c r="H5" i="85" l="1"/>
  <c r="H17" i="65" l="1"/>
  <c r="G92" i="91" l="1"/>
  <c r="B71" i="1" s="1"/>
  <c r="H89" i="91"/>
  <c r="H86" i="91"/>
  <c r="H83" i="91"/>
  <c r="H80" i="91"/>
  <c r="H77" i="91"/>
  <c r="H74" i="91"/>
  <c r="H71" i="91"/>
  <c r="H68" i="91"/>
  <c r="H65" i="91"/>
  <c r="H62" i="91"/>
  <c r="H59" i="91"/>
  <c r="H56" i="91"/>
  <c r="H53" i="91"/>
  <c r="H50" i="91"/>
  <c r="H47" i="91"/>
  <c r="H44" i="91"/>
  <c r="H41" i="91"/>
  <c r="H38" i="91"/>
  <c r="H35" i="91"/>
  <c r="H32" i="91"/>
  <c r="H29" i="91"/>
  <c r="H26" i="91"/>
  <c r="H23" i="91"/>
  <c r="H20" i="91"/>
  <c r="H17" i="91"/>
  <c r="H14" i="91"/>
  <c r="H11" i="91"/>
  <c r="H8" i="91"/>
  <c r="H5" i="91"/>
  <c r="G92" i="90"/>
  <c r="B77" i="1" s="1"/>
  <c r="H89" i="90"/>
  <c r="H86" i="90"/>
  <c r="H83" i="90"/>
  <c r="H80" i="90"/>
  <c r="H77" i="90"/>
  <c r="H74" i="90"/>
  <c r="H71" i="90"/>
  <c r="H68" i="90"/>
  <c r="H65" i="90"/>
  <c r="H62" i="90"/>
  <c r="H59" i="90"/>
  <c r="H56" i="90"/>
  <c r="H53" i="90"/>
  <c r="H50" i="90"/>
  <c r="H47" i="90"/>
  <c r="H44" i="90"/>
  <c r="H41" i="90"/>
  <c r="H38" i="90"/>
  <c r="H35" i="90"/>
  <c r="H32" i="90"/>
  <c r="H29" i="90"/>
  <c r="H26" i="90"/>
  <c r="H23" i="90"/>
  <c r="H20" i="90"/>
  <c r="H17" i="90"/>
  <c r="H14" i="90"/>
  <c r="H11" i="90"/>
  <c r="H8" i="90"/>
  <c r="H5" i="90"/>
  <c r="H2" i="90"/>
  <c r="H2" i="89" l="1"/>
  <c r="G92" i="89"/>
  <c r="B64" i="1" s="1"/>
  <c r="H89" i="89"/>
  <c r="H86" i="89"/>
  <c r="H83" i="89"/>
  <c r="H80" i="89"/>
  <c r="H77" i="89"/>
  <c r="H74" i="89"/>
  <c r="H71" i="89"/>
  <c r="H68" i="89"/>
  <c r="H65" i="89"/>
  <c r="H62" i="89"/>
  <c r="H59" i="89"/>
  <c r="H56" i="89"/>
  <c r="H53" i="89"/>
  <c r="H50" i="89"/>
  <c r="H47" i="89"/>
  <c r="H44" i="89"/>
  <c r="H41" i="89"/>
  <c r="H38" i="89"/>
  <c r="H35" i="89"/>
  <c r="H32" i="89"/>
  <c r="H29" i="89"/>
  <c r="H26" i="89"/>
  <c r="H23" i="89"/>
  <c r="H20" i="89"/>
  <c r="H17" i="89"/>
  <c r="H14" i="89"/>
  <c r="H11" i="89"/>
  <c r="H8" i="89"/>
  <c r="H5" i="89"/>
  <c r="H93" i="88" l="1"/>
  <c r="C41" i="1" s="1"/>
  <c r="G92" i="88"/>
  <c r="B41" i="1" s="1"/>
  <c r="H89" i="88"/>
  <c r="H86" i="88"/>
  <c r="H83" i="88"/>
  <c r="H80" i="88"/>
  <c r="H77" i="88"/>
  <c r="H74" i="88"/>
  <c r="H71" i="88"/>
  <c r="H68" i="88"/>
  <c r="H65" i="88"/>
  <c r="H62" i="88"/>
  <c r="H59" i="88"/>
  <c r="H56" i="88"/>
  <c r="H53" i="88"/>
  <c r="H50" i="88"/>
  <c r="H47" i="88"/>
  <c r="H44" i="88"/>
  <c r="H41" i="88"/>
  <c r="H38" i="88"/>
  <c r="H35" i="88"/>
  <c r="H32" i="88"/>
  <c r="H29" i="88"/>
  <c r="H26" i="88"/>
  <c r="H23" i="88"/>
  <c r="H20" i="88"/>
  <c r="H17" i="88"/>
  <c r="H14" i="88"/>
  <c r="H11" i="88"/>
  <c r="H11" i="70" l="1"/>
  <c r="H14" i="78"/>
  <c r="H2" i="87"/>
  <c r="G92" i="87"/>
  <c r="B32" i="1" s="1"/>
  <c r="H89" i="87"/>
  <c r="H86" i="87"/>
  <c r="H83" i="87"/>
  <c r="H80" i="87"/>
  <c r="H77" i="87"/>
  <c r="H74" i="87"/>
  <c r="H71" i="87"/>
  <c r="H68" i="87"/>
  <c r="H65" i="87"/>
  <c r="H62" i="87"/>
  <c r="H59" i="87"/>
  <c r="H56" i="87"/>
  <c r="H53" i="87"/>
  <c r="H50" i="87"/>
  <c r="H47" i="87"/>
  <c r="H44" i="87"/>
  <c r="H41" i="87"/>
  <c r="H38" i="87"/>
  <c r="H35" i="87"/>
  <c r="H32" i="87"/>
  <c r="H29" i="87"/>
  <c r="H26" i="87"/>
  <c r="H23" i="87"/>
  <c r="H20" i="87"/>
  <c r="H17" i="87"/>
  <c r="H14" i="87"/>
  <c r="H11" i="87"/>
  <c r="H8" i="87"/>
  <c r="H29" i="45"/>
  <c r="H17" i="77" l="1"/>
  <c r="H11" i="50" l="1"/>
  <c r="H8" i="47"/>
  <c r="H8" i="49"/>
  <c r="H5" i="61"/>
  <c r="H5" i="10"/>
  <c r="H8" i="51"/>
  <c r="H8" i="54"/>
  <c r="H8" i="84"/>
  <c r="H8" i="53"/>
  <c r="H11" i="55"/>
  <c r="H8" i="48"/>
  <c r="H5" i="52"/>
  <c r="H8" i="83"/>
  <c r="H5" i="86"/>
  <c r="G92" i="86"/>
  <c r="B29" i="1" s="1"/>
  <c r="H89" i="86"/>
  <c r="H86" i="86"/>
  <c r="H83" i="86"/>
  <c r="H80" i="86"/>
  <c r="H77" i="86"/>
  <c r="H74" i="86"/>
  <c r="H71" i="86"/>
  <c r="H68" i="86"/>
  <c r="H65" i="86"/>
  <c r="H62" i="86"/>
  <c r="H59" i="86"/>
  <c r="H56" i="86"/>
  <c r="H53" i="86"/>
  <c r="H50" i="86"/>
  <c r="H47" i="86"/>
  <c r="H44" i="86"/>
  <c r="H41" i="86"/>
  <c r="H38" i="86"/>
  <c r="H35" i="86"/>
  <c r="H32" i="86"/>
  <c r="H29" i="86"/>
  <c r="H26" i="86"/>
  <c r="H23" i="86"/>
  <c r="H20" i="86"/>
  <c r="H17" i="86"/>
  <c r="H14" i="86"/>
  <c r="H11" i="86"/>
  <c r="H8" i="86"/>
  <c r="H2" i="86"/>
  <c r="G92" i="85" l="1"/>
  <c r="F8" i="1" s="1"/>
  <c r="F86" i="1" s="1"/>
  <c r="H89" i="85"/>
  <c r="H86" i="85"/>
  <c r="H83" i="85"/>
  <c r="H80" i="85"/>
  <c r="H77" i="85"/>
  <c r="H74" i="85"/>
  <c r="H71" i="85"/>
  <c r="H68" i="85"/>
  <c r="H65" i="85"/>
  <c r="H62" i="85"/>
  <c r="H59" i="85"/>
  <c r="H56" i="85"/>
  <c r="H53" i="85"/>
  <c r="H50" i="85"/>
  <c r="H47" i="85"/>
  <c r="H44" i="85"/>
  <c r="H41" i="85"/>
  <c r="H38" i="85"/>
  <c r="H35" i="85"/>
  <c r="H32" i="85"/>
  <c r="H29" i="85"/>
  <c r="H26" i="85"/>
  <c r="H23" i="85"/>
  <c r="H20" i="85"/>
  <c r="H17" i="85"/>
  <c r="H14" i="85"/>
  <c r="H11" i="85"/>
  <c r="H93" i="85"/>
  <c r="G8" i="1" s="1"/>
  <c r="G86" i="1" s="1"/>
  <c r="G92" i="84" l="1"/>
  <c r="B58" i="1" s="1"/>
  <c r="H89" i="84"/>
  <c r="H86" i="84"/>
  <c r="H83" i="84"/>
  <c r="H80" i="84"/>
  <c r="H77" i="84"/>
  <c r="H74" i="84"/>
  <c r="H71" i="84"/>
  <c r="H68" i="84"/>
  <c r="H65" i="84"/>
  <c r="H62" i="84"/>
  <c r="H59" i="84"/>
  <c r="H56" i="84"/>
  <c r="H53" i="84"/>
  <c r="H50" i="84"/>
  <c r="H47" i="84"/>
  <c r="H41" i="84"/>
  <c r="H38" i="84"/>
  <c r="H35" i="84"/>
  <c r="H32" i="84"/>
  <c r="H29" i="84"/>
  <c r="H26" i="84"/>
  <c r="H23" i="84"/>
  <c r="H20" i="84"/>
  <c r="H17" i="84"/>
  <c r="H5" i="84"/>
  <c r="H2" i="84"/>
  <c r="G92" i="83"/>
  <c r="B49" i="1" s="1"/>
  <c r="H89" i="83"/>
  <c r="H86" i="83"/>
  <c r="H83" i="83"/>
  <c r="H80" i="83"/>
  <c r="H77" i="83"/>
  <c r="H74" i="83"/>
  <c r="H71" i="83"/>
  <c r="H68" i="83"/>
  <c r="H65" i="83"/>
  <c r="H62" i="83"/>
  <c r="H59" i="83"/>
  <c r="H56" i="83"/>
  <c r="H53" i="83"/>
  <c r="H50" i="83"/>
  <c r="H47" i="83"/>
  <c r="H44" i="83"/>
  <c r="H41" i="83"/>
  <c r="H38" i="83"/>
  <c r="H35" i="83"/>
  <c r="H32" i="83"/>
  <c r="H29" i="83"/>
  <c r="H26" i="83"/>
  <c r="H23" i="83"/>
  <c r="H20" i="83"/>
  <c r="H17" i="83"/>
  <c r="H14" i="83"/>
  <c r="H11" i="83"/>
  <c r="H5" i="83"/>
  <c r="H2" i="83"/>
  <c r="G92" i="82" l="1"/>
  <c r="B63" i="1" s="1"/>
  <c r="H89" i="82"/>
  <c r="H86" i="82"/>
  <c r="H83" i="82"/>
  <c r="H80" i="82"/>
  <c r="H77" i="82"/>
  <c r="H74" i="82"/>
  <c r="H71" i="82"/>
  <c r="H68" i="82"/>
  <c r="H65" i="82"/>
  <c r="H62" i="82"/>
  <c r="H59" i="82"/>
  <c r="H56" i="82"/>
  <c r="H53" i="82"/>
  <c r="H50" i="82"/>
  <c r="H47" i="82"/>
  <c r="H44" i="82"/>
  <c r="H41" i="82"/>
  <c r="H38" i="82"/>
  <c r="H35" i="82"/>
  <c r="H32" i="82"/>
  <c r="H29" i="82"/>
  <c r="H26" i="82"/>
  <c r="H23" i="82"/>
  <c r="H20" i="82"/>
  <c r="H17" i="82"/>
  <c r="H14" i="82"/>
  <c r="H11" i="82"/>
  <c r="H8" i="82"/>
  <c r="H5" i="82"/>
  <c r="H2" i="82"/>
  <c r="H14" i="65" l="1"/>
  <c r="H11" i="65"/>
  <c r="H93" i="81" l="1"/>
  <c r="C13" i="1" s="1"/>
  <c r="G92" i="81"/>
  <c r="B13" i="1" s="1"/>
  <c r="H89" i="81"/>
  <c r="H86" i="81"/>
  <c r="H83" i="81"/>
  <c r="H80" i="81"/>
  <c r="H77" i="81"/>
  <c r="H74" i="81"/>
  <c r="H71" i="81"/>
  <c r="H68" i="81"/>
  <c r="H65" i="81"/>
  <c r="H62" i="81"/>
  <c r="H59" i="81"/>
  <c r="H56" i="81"/>
  <c r="H53" i="81"/>
  <c r="H50" i="81"/>
  <c r="H47" i="81"/>
  <c r="H44" i="81"/>
  <c r="H41" i="81"/>
  <c r="H38" i="81"/>
  <c r="H35" i="81"/>
  <c r="H32" i="81"/>
  <c r="H29" i="81"/>
  <c r="H26" i="81"/>
  <c r="H23" i="81"/>
  <c r="H20" i="81"/>
  <c r="H11" i="81"/>
  <c r="H5" i="75" l="1"/>
  <c r="H2" i="80" l="1"/>
  <c r="G92" i="80"/>
  <c r="B30" i="1" s="1"/>
  <c r="H89" i="80"/>
  <c r="H86" i="80"/>
  <c r="H83" i="80"/>
  <c r="H80" i="80"/>
  <c r="H77" i="80"/>
  <c r="H74" i="80"/>
  <c r="H71" i="80"/>
  <c r="H68" i="80"/>
  <c r="H65" i="80"/>
  <c r="H62" i="80"/>
  <c r="H59" i="80"/>
  <c r="H56" i="80"/>
  <c r="H53" i="80"/>
  <c r="H50" i="80"/>
  <c r="H47" i="80"/>
  <c r="H44" i="80"/>
  <c r="H41" i="80"/>
  <c r="H38" i="80"/>
  <c r="H35" i="80"/>
  <c r="H32" i="80"/>
  <c r="H29" i="80"/>
  <c r="H26" i="80"/>
  <c r="H23" i="80"/>
  <c r="H20" i="80"/>
  <c r="H17" i="80"/>
  <c r="H14" i="80"/>
  <c r="H11" i="80"/>
  <c r="H5" i="80"/>
  <c r="H17" i="64"/>
  <c r="G92" i="79" l="1"/>
  <c r="B69" i="1" s="1"/>
  <c r="H89" i="79"/>
  <c r="H86" i="79"/>
  <c r="H83" i="79"/>
  <c r="H80" i="79"/>
  <c r="H77" i="79"/>
  <c r="H74" i="79"/>
  <c r="H71" i="79"/>
  <c r="H68" i="79"/>
  <c r="H65" i="79"/>
  <c r="H62" i="79"/>
  <c r="H59" i="79"/>
  <c r="H56" i="79"/>
  <c r="H53" i="79"/>
  <c r="H50" i="79"/>
  <c r="H47" i="79"/>
  <c r="H44" i="79"/>
  <c r="H41" i="79"/>
  <c r="H38" i="79"/>
  <c r="H35" i="79"/>
  <c r="H32" i="79"/>
  <c r="H29" i="79"/>
  <c r="H26" i="79"/>
  <c r="H23" i="79"/>
  <c r="H20" i="79"/>
  <c r="H17" i="79"/>
  <c r="H14" i="79"/>
  <c r="H11" i="79"/>
  <c r="H8" i="79"/>
  <c r="H5" i="79"/>
  <c r="H2" i="79"/>
  <c r="H5" i="69" l="1"/>
  <c r="G92" i="78" l="1"/>
  <c r="B23" i="1" s="1"/>
  <c r="H89" i="78"/>
  <c r="H86" i="78"/>
  <c r="H83" i="78"/>
  <c r="H80" i="78"/>
  <c r="H77" i="78"/>
  <c r="H74" i="78"/>
  <c r="H71" i="78"/>
  <c r="H65" i="78"/>
  <c r="H62" i="78"/>
  <c r="H59" i="78"/>
  <c r="H53" i="78"/>
  <c r="H47" i="78"/>
  <c r="H44" i="78"/>
  <c r="H41" i="78"/>
  <c r="H32" i="78"/>
  <c r="H29" i="78"/>
  <c r="H26" i="78"/>
  <c r="H23" i="78"/>
  <c r="H20" i="78"/>
  <c r="H17" i="78"/>
  <c r="H93" i="78"/>
  <c r="C23" i="1" s="1"/>
  <c r="H2" i="77" l="1"/>
  <c r="G92" i="77" l="1"/>
  <c r="B18" i="1" s="1"/>
  <c r="H89" i="77"/>
  <c r="H86" i="77"/>
  <c r="H83" i="77"/>
  <c r="H80" i="77"/>
  <c r="H77" i="77"/>
  <c r="H71" i="77"/>
  <c r="H68" i="77"/>
  <c r="H65" i="77"/>
  <c r="H56" i="77"/>
  <c r="H53" i="77"/>
  <c r="H44" i="77"/>
  <c r="H35" i="77"/>
  <c r="H32" i="77"/>
  <c r="H8" i="77"/>
  <c r="H5" i="77"/>
  <c r="H93" i="77" l="1"/>
  <c r="C18" i="1" s="1"/>
  <c r="G92" i="76"/>
  <c r="B16" i="1" s="1"/>
  <c r="H89" i="76"/>
  <c r="H86" i="76"/>
  <c r="H83" i="76"/>
  <c r="H80" i="76"/>
  <c r="H77" i="76"/>
  <c r="H74" i="76"/>
  <c r="H71" i="76"/>
  <c r="H68" i="76"/>
  <c r="H65" i="76"/>
  <c r="H62" i="76"/>
  <c r="H59" i="76"/>
  <c r="H56" i="76"/>
  <c r="H53" i="76"/>
  <c r="H50" i="76"/>
  <c r="H47" i="76"/>
  <c r="H44" i="76"/>
  <c r="H41" i="76"/>
  <c r="H38" i="76"/>
  <c r="H35" i="76"/>
  <c r="H32" i="76"/>
  <c r="H29" i="76"/>
  <c r="H26" i="76"/>
  <c r="H23" i="76"/>
  <c r="H20" i="76"/>
  <c r="H17" i="76"/>
  <c r="H14" i="76"/>
  <c r="H11" i="76"/>
  <c r="H8" i="76"/>
  <c r="H5" i="76"/>
  <c r="H2" i="76"/>
  <c r="H11" i="68" l="1"/>
  <c r="H93" i="66" l="1"/>
  <c r="C14" i="1" s="1"/>
  <c r="G92" i="75" l="1"/>
  <c r="B12" i="1" s="1"/>
  <c r="H89" i="75"/>
  <c r="H86" i="75"/>
  <c r="H83" i="75"/>
  <c r="H80" i="75"/>
  <c r="H77" i="75"/>
  <c r="H74" i="75"/>
  <c r="H71" i="75"/>
  <c r="H68" i="75"/>
  <c r="H65" i="75"/>
  <c r="H62" i="75"/>
  <c r="H59" i="75"/>
  <c r="H56" i="75"/>
  <c r="H53" i="75"/>
  <c r="H50" i="75"/>
  <c r="H47" i="75"/>
  <c r="H44" i="75"/>
  <c r="H41" i="75"/>
  <c r="H38" i="75"/>
  <c r="H35" i="75"/>
  <c r="H32" i="75"/>
  <c r="H29" i="75"/>
  <c r="H26" i="75"/>
  <c r="H23" i="75"/>
  <c r="H20" i="75"/>
  <c r="H17" i="75"/>
  <c r="H14" i="75"/>
  <c r="H11" i="75"/>
  <c r="H8" i="75"/>
  <c r="H2" i="75"/>
  <c r="H93" i="75" s="1"/>
  <c r="C12" i="1" s="1"/>
  <c r="H2" i="73" l="1"/>
  <c r="G92" i="74" l="1"/>
  <c r="B22" i="1" s="1"/>
  <c r="H89" i="74"/>
  <c r="H86" i="74"/>
  <c r="H83" i="74"/>
  <c r="H80" i="74"/>
  <c r="H77" i="74"/>
  <c r="H74" i="74"/>
  <c r="H71" i="74"/>
  <c r="H68" i="74"/>
  <c r="H65" i="74"/>
  <c r="H62" i="74"/>
  <c r="H59" i="74"/>
  <c r="H56" i="74"/>
  <c r="H53" i="74"/>
  <c r="H50" i="74"/>
  <c r="H47" i="74"/>
  <c r="H44" i="74"/>
  <c r="H41" i="74"/>
  <c r="H38" i="74"/>
  <c r="H35" i="74"/>
  <c r="H32" i="74"/>
  <c r="H29" i="74"/>
  <c r="H26" i="74"/>
  <c r="H23" i="74"/>
  <c r="H20" i="74"/>
  <c r="H17" i="74"/>
  <c r="H14" i="74"/>
  <c r="H11" i="74"/>
  <c r="H8" i="74"/>
  <c r="H5" i="74"/>
  <c r="H2" i="74"/>
  <c r="G92" i="73" l="1"/>
  <c r="B75" i="1" s="1"/>
  <c r="H89" i="73"/>
  <c r="H86" i="73"/>
  <c r="H83" i="73"/>
  <c r="H80" i="73"/>
  <c r="H77" i="73"/>
  <c r="H74" i="73"/>
  <c r="H71" i="73"/>
  <c r="H68" i="73"/>
  <c r="H65" i="73"/>
  <c r="H62" i="73"/>
  <c r="H59" i="73"/>
  <c r="H56" i="73"/>
  <c r="H53" i="73"/>
  <c r="H50" i="73"/>
  <c r="H47" i="73"/>
  <c r="H44" i="73"/>
  <c r="H41" i="73"/>
  <c r="H38" i="73"/>
  <c r="H35" i="73"/>
  <c r="H32" i="73"/>
  <c r="H29" i="73"/>
  <c r="H26" i="73"/>
  <c r="H23" i="73"/>
  <c r="H20" i="73"/>
  <c r="H17" i="73"/>
  <c r="H14" i="73"/>
  <c r="H11" i="73"/>
  <c r="H8" i="73"/>
  <c r="H5" i="73"/>
  <c r="H2" i="72" l="1"/>
  <c r="G92" i="72"/>
  <c r="B42" i="1" s="1"/>
  <c r="H89" i="72"/>
  <c r="H86" i="72"/>
  <c r="H83" i="72"/>
  <c r="H80" i="72"/>
  <c r="H77" i="72"/>
  <c r="H74" i="72"/>
  <c r="H71" i="72"/>
  <c r="H68" i="72"/>
  <c r="H65" i="72"/>
  <c r="H62" i="72"/>
  <c r="H59" i="72"/>
  <c r="H56" i="72"/>
  <c r="H53" i="72"/>
  <c r="H50" i="72"/>
  <c r="H47" i="72"/>
  <c r="H44" i="72"/>
  <c r="H41" i="72"/>
  <c r="H38" i="72"/>
  <c r="H35" i="72"/>
  <c r="H32" i="72"/>
  <c r="H29" i="72"/>
  <c r="H26" i="72"/>
  <c r="H23" i="72"/>
  <c r="H20" i="72"/>
  <c r="H14" i="72"/>
  <c r="H2" i="71" l="1"/>
  <c r="G92" i="71"/>
  <c r="B7" i="1" s="1"/>
  <c r="H89" i="71"/>
  <c r="H86" i="71"/>
  <c r="H83" i="71"/>
  <c r="H80" i="71"/>
  <c r="H77" i="71"/>
  <c r="H74" i="71"/>
  <c r="H71" i="71"/>
  <c r="H68" i="71"/>
  <c r="H65" i="71"/>
  <c r="H62" i="71"/>
  <c r="H59" i="71"/>
  <c r="H56" i="71"/>
  <c r="H53" i="71"/>
  <c r="H50" i="71"/>
  <c r="H47" i="71"/>
  <c r="H44" i="71"/>
  <c r="H41" i="71"/>
  <c r="H38" i="71"/>
  <c r="H35" i="71"/>
  <c r="H32" i="71"/>
  <c r="H29" i="71"/>
  <c r="H26" i="71"/>
  <c r="H23" i="71"/>
  <c r="H20" i="71"/>
  <c r="H17" i="71"/>
  <c r="H14" i="71"/>
  <c r="H11" i="71"/>
  <c r="H8" i="71"/>
  <c r="G92" i="70" l="1"/>
  <c r="B68" i="1" s="1"/>
  <c r="H89" i="70"/>
  <c r="H86" i="70"/>
  <c r="H83" i="70"/>
  <c r="H80" i="70"/>
  <c r="H77" i="70"/>
  <c r="H74" i="70"/>
  <c r="H71" i="70"/>
  <c r="H68" i="70"/>
  <c r="H65" i="70"/>
  <c r="H62" i="70"/>
  <c r="H59" i="70"/>
  <c r="H56" i="70"/>
  <c r="H53" i="70"/>
  <c r="H50" i="70"/>
  <c r="H47" i="70"/>
  <c r="H44" i="70"/>
  <c r="H41" i="70"/>
  <c r="H38" i="70"/>
  <c r="H35" i="70"/>
  <c r="H32" i="70"/>
  <c r="H29" i="70"/>
  <c r="H26" i="70"/>
  <c r="H23" i="70"/>
  <c r="H20" i="70"/>
  <c r="H17" i="70"/>
  <c r="H14" i="70"/>
  <c r="H8" i="70"/>
  <c r="H5" i="70"/>
  <c r="H2" i="70"/>
  <c r="H93" i="70" s="1"/>
  <c r="C68" i="1" s="1"/>
  <c r="G92" i="69" l="1"/>
  <c r="B27" i="1" s="1"/>
  <c r="H89" i="69"/>
  <c r="H86" i="69"/>
  <c r="H83" i="69"/>
  <c r="H80" i="69"/>
  <c r="H77" i="69"/>
  <c r="H74" i="69"/>
  <c r="H71" i="69"/>
  <c r="H68" i="69"/>
  <c r="H65" i="69"/>
  <c r="H62" i="69"/>
  <c r="H59" i="69"/>
  <c r="H56" i="69"/>
  <c r="H53" i="69"/>
  <c r="H50" i="69"/>
  <c r="H47" i="69"/>
  <c r="H44" i="69"/>
  <c r="H41" i="69"/>
  <c r="H38" i="69"/>
  <c r="H35" i="69"/>
  <c r="H32" i="69"/>
  <c r="H29" i="69"/>
  <c r="H26" i="69"/>
  <c r="H23" i="69"/>
  <c r="H20" i="69"/>
  <c r="H17" i="69"/>
  <c r="H14" i="69"/>
  <c r="H11" i="69"/>
  <c r="H8" i="69"/>
  <c r="H2" i="69"/>
  <c r="G92" i="68" l="1"/>
  <c r="B5" i="1" s="1"/>
  <c r="H89" i="68"/>
  <c r="H86" i="68"/>
  <c r="H83" i="68"/>
  <c r="H80" i="68"/>
  <c r="H77" i="68"/>
  <c r="H74" i="68"/>
  <c r="H71" i="68"/>
  <c r="H68" i="68"/>
  <c r="H65" i="68"/>
  <c r="H62" i="68"/>
  <c r="H59" i="68"/>
  <c r="H56" i="68"/>
  <c r="H53" i="68"/>
  <c r="H50" i="68"/>
  <c r="H47" i="68"/>
  <c r="H44" i="68"/>
  <c r="H41" i="68"/>
  <c r="H38" i="68"/>
  <c r="H35" i="68"/>
  <c r="H32" i="68"/>
  <c r="H29" i="68"/>
  <c r="H26" i="68"/>
  <c r="H23" i="68"/>
  <c r="H20" i="68"/>
  <c r="H17" i="68"/>
  <c r="H14" i="68"/>
  <c r="H8" i="68"/>
  <c r="H5" i="68"/>
  <c r="H2" i="65" l="1"/>
  <c r="G92" i="67" l="1"/>
  <c r="B70" i="1" s="1"/>
  <c r="H89" i="67"/>
  <c r="H86" i="67"/>
  <c r="H83" i="67"/>
  <c r="H80" i="67"/>
  <c r="H77" i="67"/>
  <c r="H74" i="67"/>
  <c r="H71" i="67"/>
  <c r="H68" i="67"/>
  <c r="H65" i="67"/>
  <c r="H62" i="67"/>
  <c r="H59" i="67"/>
  <c r="H56" i="67"/>
  <c r="H53" i="67"/>
  <c r="H50" i="67"/>
  <c r="H47" i="67"/>
  <c r="H44" i="67"/>
  <c r="H41" i="67"/>
  <c r="H38" i="67"/>
  <c r="H35" i="67"/>
  <c r="H32" i="67"/>
  <c r="H29" i="67"/>
  <c r="H26" i="67"/>
  <c r="H23" i="67"/>
  <c r="H20" i="67"/>
  <c r="H17" i="67"/>
  <c r="H14" i="67"/>
  <c r="H11" i="67"/>
  <c r="H8" i="67"/>
  <c r="H5" i="67"/>
  <c r="H2" i="67"/>
  <c r="G92" i="66" l="1"/>
  <c r="B14" i="1" s="1"/>
  <c r="H89" i="66"/>
  <c r="H86" i="66"/>
  <c r="H83" i="66"/>
  <c r="H80" i="66"/>
  <c r="H77" i="66"/>
  <c r="H74" i="66"/>
  <c r="H71" i="66"/>
  <c r="H68" i="66"/>
  <c r="H65" i="66"/>
  <c r="H62" i="66"/>
  <c r="H59" i="66"/>
  <c r="H56" i="66"/>
  <c r="H53" i="66"/>
  <c r="H50" i="66"/>
  <c r="H47" i="66"/>
  <c r="H44" i="66"/>
  <c r="H41" i="66"/>
  <c r="H38" i="66"/>
  <c r="H35" i="66"/>
  <c r="H32" i="66"/>
  <c r="H29" i="66"/>
  <c r="H26" i="66"/>
  <c r="H23" i="66"/>
  <c r="H20" i="66"/>
  <c r="H17" i="66"/>
  <c r="H14" i="66"/>
  <c r="H11" i="66"/>
  <c r="H8" i="66"/>
  <c r="H5" i="66"/>
  <c r="G92" i="65"/>
  <c r="B21" i="1" s="1"/>
  <c r="H89" i="65"/>
  <c r="H86" i="65"/>
  <c r="H83" i="65"/>
  <c r="H80" i="65"/>
  <c r="H77" i="65"/>
  <c r="H74" i="65"/>
  <c r="H71" i="65"/>
  <c r="H68" i="65"/>
  <c r="H65" i="65"/>
  <c r="H62" i="65"/>
  <c r="H59" i="65"/>
  <c r="H56" i="65"/>
  <c r="H53" i="65"/>
  <c r="H50" i="65"/>
  <c r="H47" i="65"/>
  <c r="H44" i="65"/>
  <c r="H41" i="65"/>
  <c r="H38" i="65"/>
  <c r="H35" i="65"/>
  <c r="H32" i="65"/>
  <c r="H29" i="65"/>
  <c r="H26" i="65"/>
  <c r="H23" i="65"/>
  <c r="H20" i="65"/>
  <c r="H8" i="65"/>
  <c r="H5" i="65"/>
  <c r="G92" i="64"/>
  <c r="B6" i="1" s="1"/>
  <c r="H89" i="64"/>
  <c r="H86" i="64"/>
  <c r="H83" i="64"/>
  <c r="H80" i="64"/>
  <c r="H77" i="64"/>
  <c r="H74" i="64"/>
  <c r="H71" i="64"/>
  <c r="H68" i="64"/>
  <c r="H65" i="64"/>
  <c r="H62" i="64"/>
  <c r="H59" i="64"/>
  <c r="H56" i="64"/>
  <c r="H53" i="64"/>
  <c r="H50" i="64"/>
  <c r="H47" i="64"/>
  <c r="H44" i="64"/>
  <c r="H41" i="64"/>
  <c r="H38" i="64"/>
  <c r="H35" i="64"/>
  <c r="H32" i="64"/>
  <c r="H29" i="64"/>
  <c r="H26" i="64"/>
  <c r="H23" i="64"/>
  <c r="H14" i="64"/>
  <c r="H11" i="64"/>
  <c r="H8" i="64"/>
  <c r="H5" i="64"/>
  <c r="H2" i="64"/>
  <c r="G92" i="63" l="1"/>
  <c r="B35" i="1" s="1"/>
  <c r="H89" i="63"/>
  <c r="H86" i="63"/>
  <c r="H83" i="63"/>
  <c r="H80" i="63"/>
  <c r="H77" i="63"/>
  <c r="H74" i="63"/>
  <c r="H71" i="63"/>
  <c r="H68" i="63"/>
  <c r="H65" i="63"/>
  <c r="H62" i="63"/>
  <c r="H59" i="63"/>
  <c r="H56" i="63"/>
  <c r="H53" i="63"/>
  <c r="H50" i="63"/>
  <c r="H47" i="63"/>
  <c r="H44" i="63"/>
  <c r="H41" i="63"/>
  <c r="H38" i="63"/>
  <c r="H35" i="63"/>
  <c r="H32" i="63"/>
  <c r="H29" i="63"/>
  <c r="H26" i="63"/>
  <c r="H23" i="63"/>
  <c r="H20" i="63"/>
  <c r="H17" i="63"/>
  <c r="H14" i="63"/>
  <c r="H11" i="63"/>
  <c r="H8" i="63"/>
  <c r="H5" i="63"/>
  <c r="H2" i="63"/>
  <c r="H2" i="62" l="1"/>
  <c r="H5" i="62"/>
  <c r="H8" i="62"/>
  <c r="H11" i="62"/>
  <c r="H14" i="62"/>
  <c r="H17" i="62"/>
  <c r="G92" i="62"/>
  <c r="B76" i="1" s="1"/>
  <c r="H89" i="62"/>
  <c r="H86" i="62"/>
  <c r="H83" i="62"/>
  <c r="H80" i="62"/>
  <c r="H77" i="62"/>
  <c r="H74" i="62"/>
  <c r="H71" i="62"/>
  <c r="H68" i="62"/>
  <c r="H65" i="62"/>
  <c r="H62" i="62"/>
  <c r="H59" i="62"/>
  <c r="H56" i="62"/>
  <c r="H53" i="62"/>
  <c r="H50" i="62"/>
  <c r="H47" i="62"/>
  <c r="H44" i="62"/>
  <c r="H41" i="62"/>
  <c r="H38" i="62"/>
  <c r="H35" i="62"/>
  <c r="H32" i="62"/>
  <c r="H29" i="62"/>
  <c r="H26" i="62"/>
  <c r="H23" i="62"/>
  <c r="H20" i="62"/>
  <c r="H5" i="59" l="1"/>
  <c r="H8" i="59" l="1"/>
  <c r="G92" i="61" l="1"/>
  <c r="B56" i="1" s="1"/>
  <c r="H89" i="61"/>
  <c r="H86" i="61"/>
  <c r="H83" i="61"/>
  <c r="H80" i="61"/>
  <c r="H77" i="61"/>
  <c r="H74" i="61"/>
  <c r="H71" i="61"/>
  <c r="H68" i="61"/>
  <c r="H65" i="61"/>
  <c r="H62" i="61"/>
  <c r="H59" i="61"/>
  <c r="H56" i="61"/>
  <c r="H53" i="61"/>
  <c r="H50" i="61"/>
  <c r="H47" i="61"/>
  <c r="H44" i="61"/>
  <c r="H41" i="61"/>
  <c r="H38" i="61"/>
  <c r="H35" i="61"/>
  <c r="H32" i="61"/>
  <c r="H29" i="61"/>
  <c r="H26" i="61"/>
  <c r="H23" i="61"/>
  <c r="H20" i="61"/>
  <c r="H17" i="61"/>
  <c r="H14" i="61"/>
  <c r="H11" i="61"/>
  <c r="H8" i="61"/>
  <c r="H2" i="61"/>
  <c r="G92" i="60" l="1"/>
  <c r="B17" i="1" s="1"/>
  <c r="H89" i="60"/>
  <c r="H86" i="60"/>
  <c r="H83" i="60"/>
  <c r="H80" i="60"/>
  <c r="H77" i="60"/>
  <c r="H74" i="60"/>
  <c r="H71" i="60"/>
  <c r="H68" i="60"/>
  <c r="H65" i="60"/>
  <c r="H62" i="60"/>
  <c r="H59" i="60"/>
  <c r="H56" i="60"/>
  <c r="H53" i="60"/>
  <c r="H50" i="60"/>
  <c r="H47" i="60"/>
  <c r="H44" i="60"/>
  <c r="H41" i="60"/>
  <c r="H38" i="60"/>
  <c r="H35" i="60"/>
  <c r="H32" i="60"/>
  <c r="H29" i="60"/>
  <c r="H26" i="60"/>
  <c r="H23" i="60"/>
  <c r="H20" i="60"/>
  <c r="H17" i="60"/>
  <c r="H14" i="60"/>
  <c r="H11" i="60"/>
  <c r="H8" i="60"/>
  <c r="H5" i="60"/>
  <c r="H2" i="60"/>
  <c r="G92" i="59" l="1"/>
  <c r="B60" i="1" s="1"/>
  <c r="H89" i="59"/>
  <c r="H86" i="59"/>
  <c r="H83" i="59"/>
  <c r="H80" i="59"/>
  <c r="H77" i="59"/>
  <c r="H74" i="59"/>
  <c r="H71" i="59"/>
  <c r="H68" i="59"/>
  <c r="H65" i="59"/>
  <c r="H62" i="59"/>
  <c r="H59" i="59"/>
  <c r="H56" i="59"/>
  <c r="H53" i="59"/>
  <c r="H50" i="59"/>
  <c r="H47" i="59"/>
  <c r="H44" i="59"/>
  <c r="H41" i="59"/>
  <c r="H38" i="59"/>
  <c r="H35" i="59"/>
  <c r="H32" i="59"/>
  <c r="H29" i="59"/>
  <c r="H26" i="59"/>
  <c r="H23" i="59"/>
  <c r="H20" i="59"/>
  <c r="H17" i="59"/>
  <c r="H14" i="59"/>
  <c r="H11" i="59"/>
  <c r="H2" i="59"/>
  <c r="H89" i="58" l="1"/>
  <c r="H86" i="58"/>
  <c r="H83" i="58"/>
  <c r="H80" i="58"/>
  <c r="H77" i="58"/>
  <c r="H74" i="58"/>
  <c r="H71" i="58"/>
  <c r="H68" i="58"/>
  <c r="H65" i="58"/>
  <c r="H62" i="58"/>
  <c r="H59" i="58"/>
  <c r="H56" i="58"/>
  <c r="H53" i="58"/>
  <c r="H50" i="58"/>
  <c r="H47" i="58"/>
  <c r="H44" i="58"/>
  <c r="H41" i="58"/>
  <c r="H38" i="58"/>
  <c r="H35" i="58"/>
  <c r="H32" i="58"/>
  <c r="H29" i="58"/>
  <c r="H26" i="58"/>
  <c r="H23" i="58"/>
  <c r="H20" i="58"/>
  <c r="H17" i="58"/>
  <c r="H14" i="58"/>
  <c r="H11" i="58"/>
  <c r="H8" i="58"/>
  <c r="H5" i="58"/>
  <c r="H2" i="58"/>
  <c r="H89" i="57"/>
  <c r="H86" i="57"/>
  <c r="H83" i="57"/>
  <c r="H80" i="57"/>
  <c r="H77" i="57"/>
  <c r="H74" i="57"/>
  <c r="H71" i="57"/>
  <c r="H68" i="57"/>
  <c r="H65" i="57"/>
  <c r="H62" i="57"/>
  <c r="H59" i="57"/>
  <c r="H56" i="57"/>
  <c r="H53" i="57"/>
  <c r="H50" i="57"/>
  <c r="H47" i="57"/>
  <c r="H44" i="57"/>
  <c r="H41" i="57"/>
  <c r="H38" i="57"/>
  <c r="H35" i="57"/>
  <c r="H32" i="57"/>
  <c r="H29" i="57"/>
  <c r="H26" i="57"/>
  <c r="H23" i="57"/>
  <c r="H20" i="57"/>
  <c r="H17" i="57"/>
  <c r="H14" i="57"/>
  <c r="H11" i="57"/>
  <c r="H8" i="57"/>
  <c r="H5" i="57"/>
  <c r="H2" i="57"/>
  <c r="H95" i="56"/>
  <c r="H86" i="56"/>
  <c r="H83" i="56"/>
  <c r="H80" i="56"/>
  <c r="H77" i="56"/>
  <c r="H71" i="56"/>
  <c r="H62" i="56"/>
  <c r="H59" i="56"/>
  <c r="H53" i="56"/>
  <c r="H50" i="56"/>
  <c r="H47" i="56"/>
  <c r="H41" i="56"/>
  <c r="H35" i="56"/>
  <c r="H32" i="56"/>
  <c r="H29" i="56"/>
  <c r="H14" i="56"/>
  <c r="H11" i="56"/>
  <c r="H5" i="56"/>
  <c r="H89" i="55"/>
  <c r="H86" i="55"/>
  <c r="H83" i="55"/>
  <c r="H80" i="55"/>
  <c r="H77" i="55"/>
  <c r="H74" i="55"/>
  <c r="H71" i="55"/>
  <c r="H68" i="55"/>
  <c r="H65" i="55"/>
  <c r="H62" i="55"/>
  <c r="H59" i="55"/>
  <c r="H56" i="55"/>
  <c r="H53" i="55"/>
  <c r="H50" i="55"/>
  <c r="H47" i="55"/>
  <c r="H44" i="55"/>
  <c r="H38" i="55"/>
  <c r="H35" i="55"/>
  <c r="H32" i="55"/>
  <c r="H29" i="55"/>
  <c r="H26" i="55"/>
  <c r="H23" i="55"/>
  <c r="H17" i="55"/>
  <c r="H14" i="55"/>
  <c r="H8" i="55"/>
  <c r="H5" i="55"/>
  <c r="H2" i="55"/>
  <c r="H89" i="54"/>
  <c r="H86" i="54"/>
  <c r="H83" i="54"/>
  <c r="H80" i="54"/>
  <c r="H77" i="54"/>
  <c r="H74" i="54"/>
  <c r="H71" i="54"/>
  <c r="H68" i="54"/>
  <c r="H65" i="54"/>
  <c r="H62" i="54"/>
  <c r="H59" i="54"/>
  <c r="H56" i="54"/>
  <c r="H53" i="54"/>
  <c r="H50" i="54"/>
  <c r="H47" i="54"/>
  <c r="H44" i="54"/>
  <c r="H41" i="54"/>
  <c r="H35" i="54"/>
  <c r="H32" i="54"/>
  <c r="H29" i="54"/>
  <c r="H26" i="54"/>
  <c r="H23" i="54"/>
  <c r="H20" i="54"/>
  <c r="H17" i="54"/>
  <c r="H14" i="54"/>
  <c r="H11" i="54"/>
  <c r="H5" i="54"/>
  <c r="H2" i="54"/>
  <c r="H89" i="53"/>
  <c r="H86" i="53"/>
  <c r="H83" i="53"/>
  <c r="H80" i="53"/>
  <c r="H77" i="53"/>
  <c r="H74" i="53"/>
  <c r="H71" i="53"/>
  <c r="H68" i="53"/>
  <c r="H65" i="53"/>
  <c r="H62" i="53"/>
  <c r="H59" i="53"/>
  <c r="H56" i="53"/>
  <c r="H53" i="53"/>
  <c r="H50" i="53"/>
  <c r="H47" i="53"/>
  <c r="H44" i="53"/>
  <c r="H41" i="53"/>
  <c r="H35" i="53"/>
  <c r="H32" i="53"/>
  <c r="H26" i="53"/>
  <c r="H23" i="53"/>
  <c r="H20" i="53"/>
  <c r="H17" i="53"/>
  <c r="H14" i="53"/>
  <c r="H11" i="53"/>
  <c r="H5" i="53"/>
  <c r="H2" i="53"/>
  <c r="H89" i="52"/>
  <c r="H86" i="52"/>
  <c r="H83" i="52"/>
  <c r="H80" i="52"/>
  <c r="H77" i="52"/>
  <c r="H74" i="52"/>
  <c r="H71" i="52"/>
  <c r="H68" i="52"/>
  <c r="H65" i="52"/>
  <c r="H62" i="52"/>
  <c r="H59" i="52"/>
  <c r="H56" i="52"/>
  <c r="H53" i="52"/>
  <c r="H50" i="52"/>
  <c r="H47" i="52"/>
  <c r="H44" i="52"/>
  <c r="H41" i="52"/>
  <c r="H38" i="52"/>
  <c r="H35" i="52"/>
  <c r="H32" i="52"/>
  <c r="H29" i="52"/>
  <c r="H23" i="52"/>
  <c r="H20" i="52"/>
  <c r="H17" i="52"/>
  <c r="H14" i="52"/>
  <c r="H11" i="52"/>
  <c r="H8" i="52"/>
  <c r="H2" i="52"/>
  <c r="H89" i="51"/>
  <c r="H86" i="51"/>
  <c r="H83" i="51"/>
  <c r="H80" i="51"/>
  <c r="H77" i="51"/>
  <c r="H74" i="51"/>
  <c r="H71" i="51"/>
  <c r="H68" i="51"/>
  <c r="H65" i="51"/>
  <c r="H62" i="51"/>
  <c r="H59" i="51"/>
  <c r="H56" i="51"/>
  <c r="H53" i="51"/>
  <c r="H50" i="51"/>
  <c r="H47" i="51"/>
  <c r="H44" i="51"/>
  <c r="H38" i="51"/>
  <c r="H35" i="51"/>
  <c r="H32" i="51"/>
  <c r="H29" i="51"/>
  <c r="H26" i="51"/>
  <c r="H23" i="51"/>
  <c r="H20" i="51"/>
  <c r="H17" i="51"/>
  <c r="H14" i="51"/>
  <c r="H11" i="51"/>
  <c r="H5" i="51"/>
  <c r="H2" i="51"/>
  <c r="H89" i="50"/>
  <c r="H86" i="50"/>
  <c r="H83" i="50"/>
  <c r="H80" i="50"/>
  <c r="H77" i="50"/>
  <c r="H74" i="50"/>
  <c r="H71" i="50"/>
  <c r="H68" i="50"/>
  <c r="H65" i="50"/>
  <c r="H62" i="50"/>
  <c r="H59" i="50"/>
  <c r="H56" i="50"/>
  <c r="H53" i="50"/>
  <c r="H50" i="50"/>
  <c r="H47" i="50"/>
  <c r="H41" i="50"/>
  <c r="H38" i="50"/>
  <c r="H35" i="50"/>
  <c r="H32" i="50"/>
  <c r="H29" i="50"/>
  <c r="H26" i="50"/>
  <c r="H23" i="50"/>
  <c r="H20" i="50"/>
  <c r="H17" i="50"/>
  <c r="H14" i="50"/>
  <c r="H8" i="50"/>
  <c r="H5" i="50"/>
  <c r="H2" i="50"/>
  <c r="H89" i="49"/>
  <c r="H86" i="49"/>
  <c r="H83" i="49"/>
  <c r="H80" i="49"/>
  <c r="H77" i="49"/>
  <c r="H74" i="49"/>
  <c r="H71" i="49"/>
  <c r="H68" i="49"/>
  <c r="H65" i="49"/>
  <c r="H62" i="49"/>
  <c r="H59" i="49"/>
  <c r="H56" i="49"/>
  <c r="H53" i="49"/>
  <c r="H50" i="49"/>
  <c r="H47" i="49"/>
  <c r="H44" i="49"/>
  <c r="H41" i="49"/>
  <c r="H35" i="49"/>
  <c r="H32" i="49"/>
  <c r="H29" i="49"/>
  <c r="H23" i="49"/>
  <c r="H20" i="49"/>
  <c r="H17" i="49"/>
  <c r="H14" i="49"/>
  <c r="H11" i="49"/>
  <c r="H2" i="49"/>
  <c r="H89" i="48"/>
  <c r="H86" i="48"/>
  <c r="H83" i="48"/>
  <c r="H80" i="48"/>
  <c r="H77" i="48"/>
  <c r="H74" i="48"/>
  <c r="H71" i="48"/>
  <c r="H68" i="48"/>
  <c r="H65" i="48"/>
  <c r="H62" i="48"/>
  <c r="H59" i="48"/>
  <c r="H56" i="48"/>
  <c r="H53" i="48"/>
  <c r="H50" i="48"/>
  <c r="H47" i="48"/>
  <c r="H44" i="48"/>
  <c r="H41" i="48"/>
  <c r="H35" i="48"/>
  <c r="H32" i="48"/>
  <c r="H29" i="48"/>
  <c r="H26" i="48"/>
  <c r="H23" i="48"/>
  <c r="H20" i="48"/>
  <c r="H17" i="48"/>
  <c r="H14" i="48"/>
  <c r="H11" i="48"/>
  <c r="H5" i="48"/>
  <c r="H2" i="48"/>
  <c r="H89" i="47"/>
  <c r="H86" i="47"/>
  <c r="H83" i="47"/>
  <c r="H80" i="47"/>
  <c r="H77" i="47"/>
  <c r="H74" i="47"/>
  <c r="H71" i="47"/>
  <c r="H68" i="47"/>
  <c r="H65" i="47"/>
  <c r="H62" i="47"/>
  <c r="H59" i="47"/>
  <c r="H56" i="47"/>
  <c r="H53" i="47"/>
  <c r="H50" i="47"/>
  <c r="H47" i="47"/>
  <c r="H44" i="47"/>
  <c r="H41" i="47"/>
  <c r="H38" i="47"/>
  <c r="H35" i="47"/>
  <c r="H32" i="47"/>
  <c r="H26" i="47"/>
  <c r="H23" i="47"/>
  <c r="H20" i="47"/>
  <c r="H17" i="47"/>
  <c r="H14" i="47"/>
  <c r="H11" i="47"/>
  <c r="H5" i="47"/>
  <c r="H2" i="47"/>
  <c r="H89" i="46"/>
  <c r="H86" i="46"/>
  <c r="H83" i="46"/>
  <c r="H80" i="46"/>
  <c r="H77" i="46"/>
  <c r="H74" i="46"/>
  <c r="H71" i="46"/>
  <c r="H68" i="46"/>
  <c r="H65" i="46"/>
  <c r="H62" i="46"/>
  <c r="H59" i="46"/>
  <c r="H56" i="46"/>
  <c r="H53" i="46"/>
  <c r="H50" i="46"/>
  <c r="H47" i="46"/>
  <c r="H44" i="46"/>
  <c r="H38" i="46"/>
  <c r="H35" i="46"/>
  <c r="H32" i="46"/>
  <c r="H29" i="46"/>
  <c r="H26" i="46"/>
  <c r="H23" i="46"/>
  <c r="H20" i="46"/>
  <c r="H14" i="46"/>
  <c r="H11" i="46"/>
  <c r="H8" i="46"/>
  <c r="H5" i="46"/>
  <c r="H2" i="46"/>
  <c r="H89" i="10"/>
  <c r="H86" i="10"/>
  <c r="H83" i="10"/>
  <c r="H80" i="10"/>
  <c r="H77" i="10"/>
  <c r="H74" i="10"/>
  <c r="H71" i="10"/>
  <c r="H68" i="10"/>
  <c r="H65" i="10"/>
  <c r="H62" i="10"/>
  <c r="H59" i="10"/>
  <c r="H56" i="10"/>
  <c r="H53" i="10"/>
  <c r="H50" i="10"/>
  <c r="H47" i="10"/>
  <c r="H44" i="10"/>
  <c r="H41" i="10"/>
  <c r="H38" i="10"/>
  <c r="H32" i="10"/>
  <c r="H29" i="10"/>
  <c r="H26" i="10"/>
  <c r="H20" i="10"/>
  <c r="H17" i="10"/>
  <c r="H14" i="10"/>
  <c r="H11" i="10"/>
  <c r="H8" i="10"/>
  <c r="H2" i="10"/>
  <c r="H128" i="45"/>
  <c r="H95" i="45"/>
  <c r="H71" i="45"/>
  <c r="H68" i="45"/>
  <c r="H62" i="45"/>
  <c r="H59" i="45"/>
  <c r="H44" i="45"/>
  <c r="H41" i="45"/>
  <c r="H38" i="45"/>
  <c r="H32" i="45"/>
  <c r="H26" i="45"/>
  <c r="H23" i="45"/>
  <c r="H20" i="45"/>
  <c r="H14" i="45"/>
  <c r="H11" i="45"/>
  <c r="H132" i="45"/>
  <c r="C28" i="1" s="1"/>
  <c r="H2" i="45"/>
  <c r="G92" i="58"/>
  <c r="B50" i="1" s="1"/>
  <c r="G92" i="57"/>
  <c r="B55" i="1" s="1"/>
  <c r="B11" i="1"/>
  <c r="G92" i="55"/>
  <c r="B48" i="1" s="1"/>
  <c r="G92" i="54"/>
  <c r="B52" i="1" s="1"/>
  <c r="G92" i="53"/>
  <c r="B47" i="1" s="1"/>
  <c r="G92" i="52"/>
  <c r="B46" i="1" s="1"/>
  <c r="H99" i="56" l="1"/>
  <c r="C11" i="1" s="1"/>
  <c r="G92" i="51"/>
  <c r="B45" i="1" s="1"/>
  <c r="G92" i="50"/>
  <c r="B51" i="1" s="1"/>
  <c r="G92" i="49" l="1"/>
  <c r="B53" i="1" s="1"/>
  <c r="G92" i="48"/>
  <c r="B54" i="1" s="1"/>
  <c r="G92" i="47"/>
  <c r="B59" i="1" s="1"/>
  <c r="G92" i="46"/>
  <c r="B57" i="1" s="1"/>
  <c r="B28" i="1"/>
  <c r="G92" i="10" l="1"/>
  <c r="B44" i="1" s="1"/>
  <c r="B86" i="1" s="1"/>
  <c r="D90" i="1" s="1"/>
  <c r="C86" i="1" l="1"/>
  <c r="F90" i="1" s="1"/>
</calcChain>
</file>

<file path=xl/sharedStrings.xml><?xml version="1.0" encoding="utf-8"?>
<sst xmlns="http://schemas.openxmlformats.org/spreadsheetml/2006/main" count="10341" uniqueCount="99">
  <si>
    <t>CLIENTE</t>
  </si>
  <si>
    <t>COMISSÃO</t>
  </si>
  <si>
    <t>Voltar ao Inicio</t>
  </si>
  <si>
    <t>Data</t>
  </si>
  <si>
    <t>Compra</t>
  </si>
  <si>
    <t>Faturamento</t>
  </si>
  <si>
    <t>Fornecedor</t>
  </si>
  <si>
    <t>Pedido</t>
  </si>
  <si>
    <t>NFE</t>
  </si>
  <si>
    <t>Valor</t>
  </si>
  <si>
    <t>Comissão</t>
  </si>
  <si>
    <t>TOTAL</t>
  </si>
  <si>
    <t>VALOR DE COMPRA TOTAL</t>
  </si>
  <si>
    <t>TOTAL VENDA</t>
  </si>
  <si>
    <t>TOTAL COMISSÃO</t>
  </si>
  <si>
    <t>FLAMBOYAN</t>
  </si>
  <si>
    <t>MAIS QUE MAKE AÇAILANDIA</t>
  </si>
  <si>
    <t>MAIS QUE MAKE SANTAREM BIJU</t>
  </si>
  <si>
    <t>MAIS QUE MAKE VARZEA GRANDE</t>
  </si>
  <si>
    <t>MAIS QUE MAKE PARAUPEBAS AT</t>
  </si>
  <si>
    <t>MAIS QUE MAKE MARABÁ</t>
  </si>
  <si>
    <t xml:space="preserve">MAIS QUE MAKE IMPERATRIZ </t>
  </si>
  <si>
    <t xml:space="preserve">MAIS QUE MAKE IMPERATRIZ AT </t>
  </si>
  <si>
    <t>MAIS QUE MAKE ALTA FLORESTA</t>
  </si>
  <si>
    <t>MAIS QUE MAKE ALTAMIRA</t>
  </si>
  <si>
    <t>MAIS QUE MAKE ARAGUAINA</t>
  </si>
  <si>
    <t>MAIS QUE MAKE ITAITUBA</t>
  </si>
  <si>
    <t>MAIS QUE MAKE BALSAS</t>
  </si>
  <si>
    <t>CELL SOLLUTION</t>
  </si>
  <si>
    <t>MARIA DO PERPETUO SOCORRO (LOERENA)</t>
  </si>
  <si>
    <t>CRIS MODAS TUPÃ</t>
  </si>
  <si>
    <t xml:space="preserve">MAIS QUE MAKE SANTAREM </t>
  </si>
  <si>
    <t>W SU</t>
  </si>
  <si>
    <t>IVANETE JATAI</t>
  </si>
  <si>
    <t>2H VARIEDADES</t>
  </si>
  <si>
    <t>DELL REI</t>
  </si>
  <si>
    <t>COMERCIAL RONDONIA</t>
  </si>
  <si>
    <t>SUPERMERCADO RODRIGUES (Angelica)</t>
  </si>
  <si>
    <t xml:space="preserve"> + BAZAR</t>
  </si>
  <si>
    <t>FEST SHOW</t>
  </si>
  <si>
    <t>SKR BEZERRA</t>
  </si>
  <si>
    <t>ALJATEC ELETRICA</t>
  </si>
  <si>
    <t>LOJÃO CASA SILVA</t>
  </si>
  <si>
    <t>VERENA VAREJISTA</t>
  </si>
  <si>
    <t>DISTRIBUIDORA GOMES LISBOA</t>
  </si>
  <si>
    <t>COMERCIAL BRAS RAIMUNDO</t>
  </si>
  <si>
    <t>CRIS KING BIJU</t>
  </si>
  <si>
    <t>DECAZZA COM</t>
  </si>
  <si>
    <t>EMBALEME COMERCIO</t>
  </si>
  <si>
    <t>SMART BUY</t>
  </si>
  <si>
    <t>FLAP KIDS</t>
  </si>
  <si>
    <t>COMERCIAL MARTINS E MARTINS</t>
  </si>
  <si>
    <t>PINK GLAMOUR</t>
  </si>
  <si>
    <t>MAIS QUE MAKE BURITICUPU</t>
  </si>
  <si>
    <t>MAIS QUE MAKE SÃO LUIS</t>
  </si>
  <si>
    <t>MKS COMERCIO</t>
  </si>
  <si>
    <t>FLAVIA COMERCIO</t>
  </si>
  <si>
    <t>GETULIO LIRA</t>
  </si>
  <si>
    <t>LACORDAIRE TELES</t>
  </si>
  <si>
    <t>RAPPY TOYS</t>
  </si>
  <si>
    <t>WRA IMPORT</t>
  </si>
  <si>
    <t>SUPER PART</t>
  </si>
  <si>
    <t>BELLA FIFI</t>
  </si>
  <si>
    <t xml:space="preserve">JANDERRUBEM </t>
  </si>
  <si>
    <t>W. CHUNMEI LTDA</t>
  </si>
  <si>
    <t>FRANK PAPELARIA</t>
  </si>
  <si>
    <t>AMEI COMERCIO</t>
  </si>
  <si>
    <t>CASA MIMO</t>
  </si>
  <si>
    <t>REALZÃO IMP. MONICA</t>
  </si>
  <si>
    <t>W. LIMA</t>
  </si>
  <si>
    <t>MRC 8</t>
  </si>
  <si>
    <t xml:space="preserve">MAIS QUE MAKE PARAUPEBAS </t>
  </si>
  <si>
    <t>EVELINY MARIA</t>
  </si>
  <si>
    <t>DF COMERCIO</t>
  </si>
  <si>
    <t>J L A HUNCA ME</t>
  </si>
  <si>
    <t>ERICA SHIRLEY</t>
  </si>
  <si>
    <t>VOLTAR</t>
  </si>
  <si>
    <t>IPED INSTITUTO</t>
  </si>
  <si>
    <t>TATIANE VEGAS</t>
  </si>
  <si>
    <t>GIULIANA CHRISTIELLE</t>
  </si>
  <si>
    <t>NAVIO SERVIÇOS</t>
  </si>
  <si>
    <t>V DOS SANTOS</t>
  </si>
  <si>
    <t>LOJAS MARIA</t>
  </si>
  <si>
    <t>JANE STER(EDAC)</t>
  </si>
  <si>
    <t>REALZÃO IMP.</t>
  </si>
  <si>
    <t>D.TSIANG</t>
  </si>
  <si>
    <t>KMRG</t>
  </si>
  <si>
    <t>VALDIRENE DOS SANTOS</t>
  </si>
  <si>
    <t>SAMUAH</t>
  </si>
  <si>
    <t>X</t>
  </si>
  <si>
    <t>ELINETE JARDIM</t>
  </si>
  <si>
    <t xml:space="preserve"> VENDA GERAL 2026 </t>
  </si>
  <si>
    <t>RENAN</t>
  </si>
  <si>
    <t>LUINE</t>
  </si>
  <si>
    <t>JHAMBA LE COOK</t>
  </si>
  <si>
    <t>POESY AVIAMENTOS 0001-37</t>
  </si>
  <si>
    <t>POESY AVIAMENTOS 0001-83</t>
  </si>
  <si>
    <t>L. SOUZA MARTINS</t>
  </si>
  <si>
    <t>C R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</si>
</sst>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dd\.mm\.yyyy;@"/>
    <numFmt numFmtId="165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9" tint="-0.499984740745262"/>
      <name val="Calibri"/>
      <family val="2"/>
      <scheme val="minor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C89BE9"/>
        <bgColor indexed="64"/>
      </patternFill>
    </fill>
    <fill>
      <patternFill patternType="solid">
        <fgColor rgb="FFF4A2F6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4E0D0"/>
        <bgColor indexed="64"/>
      </patternFill>
    </fill>
    <fill>
      <patternFill patternType="solid">
        <fgColor theme="4" tint="-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2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5" fillId="2" borderId="2" xfId="0" applyNumberFormat="1" applyFont="1" applyFill="1" applyBorder="1"/>
    <xf numFmtId="1" fontId="5" fillId="2" borderId="3" xfId="0" applyNumberFormat="1" applyFont="1" applyFill="1" applyBorder="1" applyAlignment="1">
      <alignment horizontal="center" vertical="center"/>
    </xf>
    <xf numFmtId="44" fontId="5" fillId="2" borderId="2" xfId="1" applyFont="1" applyFill="1" applyBorder="1"/>
    <xf numFmtId="164" fontId="5" fillId="6" borderId="2" xfId="0" applyNumberFormat="1" applyFont="1" applyFill="1" applyBorder="1"/>
    <xf numFmtId="1" fontId="5" fillId="2" borderId="5" xfId="0" applyNumberFormat="1" applyFont="1" applyFill="1" applyBorder="1" applyAlignment="1">
      <alignment horizontal="center" vertical="center"/>
    </xf>
    <xf numFmtId="44" fontId="5" fillId="6" borderId="2" xfId="1" applyFont="1" applyFill="1" applyBorder="1"/>
    <xf numFmtId="0" fontId="6" fillId="0" borderId="0" xfId="0" applyFont="1"/>
    <xf numFmtId="0" fontId="7" fillId="0" borderId="0" xfId="0" applyFont="1"/>
    <xf numFmtId="0" fontId="1" fillId="0" borderId="0" xfId="0" applyFont="1"/>
    <xf numFmtId="44" fontId="8" fillId="2" borderId="1" xfId="1" applyFont="1" applyFill="1" applyBorder="1"/>
    <xf numFmtId="0" fontId="9" fillId="2" borderId="1" xfId="0" applyFont="1" applyFill="1" applyBorder="1"/>
    <xf numFmtId="44" fontId="0" fillId="6" borderId="1" xfId="1" applyFont="1" applyFill="1" applyBorder="1"/>
    <xf numFmtId="44" fontId="7" fillId="2" borderId="1" xfId="0" applyNumberFormat="1" applyFont="1" applyFill="1" applyBorder="1"/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4" fontId="7" fillId="2" borderId="1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164" fontId="4" fillId="3" borderId="14" xfId="0" applyNumberFormat="1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9" fillId="2" borderId="19" xfId="0" applyFont="1" applyFill="1" applyBorder="1"/>
    <xf numFmtId="44" fontId="11" fillId="0" borderId="20" xfId="0" applyNumberFormat="1" applyFont="1" applyBorder="1"/>
    <xf numFmtId="164" fontId="5" fillId="2" borderId="12" xfId="0" applyNumberFormat="1" applyFont="1" applyFill="1" applyBorder="1"/>
    <xf numFmtId="164" fontId="5" fillId="11" borderId="12" xfId="0" applyNumberFormat="1" applyFont="1" applyFill="1" applyBorder="1"/>
    <xf numFmtId="44" fontId="5" fillId="11" borderId="2" xfId="1" applyFont="1" applyFill="1" applyBorder="1"/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7" fillId="9" borderId="17" xfId="0" applyFont="1" applyFill="1" applyBorder="1"/>
    <xf numFmtId="44" fontId="7" fillId="9" borderId="15" xfId="0" applyNumberFormat="1" applyFont="1" applyFill="1" applyBorder="1"/>
    <xf numFmtId="0" fontId="7" fillId="9" borderId="15" xfId="0" applyFont="1" applyFill="1" applyBorder="1"/>
    <xf numFmtId="0" fontId="7" fillId="8" borderId="18" xfId="0" applyFont="1" applyFill="1" applyBorder="1" applyAlignment="1">
      <alignment horizontal="center"/>
    </xf>
    <xf numFmtId="0" fontId="10" fillId="10" borderId="27" xfId="0" applyFont="1" applyFill="1" applyBorder="1" applyAlignment="1">
      <alignment horizontal="center"/>
    </xf>
    <xf numFmtId="0" fontId="7" fillId="8" borderId="30" xfId="0" applyFont="1" applyFill="1" applyBorder="1" applyAlignment="1">
      <alignment horizontal="center"/>
    </xf>
    <xf numFmtId="0" fontId="7" fillId="9" borderId="31" xfId="0" applyFont="1" applyFill="1" applyBorder="1"/>
    <xf numFmtId="0" fontId="7" fillId="2" borderId="32" xfId="2" applyFont="1" applyFill="1" applyBorder="1" applyAlignment="1">
      <alignment horizontal="left"/>
    </xf>
    <xf numFmtId="0" fontId="7" fillId="0" borderId="29" xfId="2" applyFont="1" applyBorder="1"/>
    <xf numFmtId="0" fontId="7" fillId="2" borderId="32" xfId="2" applyFont="1" applyFill="1" applyBorder="1" applyAlignment="1">
      <alignment horizontal="left" vertical="top"/>
    </xf>
    <xf numFmtId="0" fontId="6" fillId="2" borderId="32" xfId="2" applyFont="1" applyFill="1" applyBorder="1" applyAlignment="1">
      <alignment horizontal="left"/>
    </xf>
    <xf numFmtId="0" fontId="7" fillId="2" borderId="32" xfId="2" applyFont="1" applyFill="1" applyBorder="1" applyAlignment="1">
      <alignment horizontal="left" vertical="center"/>
    </xf>
    <xf numFmtId="0" fontId="6" fillId="2" borderId="32" xfId="2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/>
    </xf>
    <xf numFmtId="0" fontId="7" fillId="2" borderId="32" xfId="0" applyFont="1" applyFill="1" applyBorder="1" applyAlignment="1">
      <alignment horizontal="center"/>
    </xf>
    <xf numFmtId="0" fontId="7" fillId="2" borderId="32" xfId="2" applyFont="1" applyFill="1" applyBorder="1"/>
    <xf numFmtId="0" fontId="7" fillId="2" borderId="34" xfId="0" applyFont="1" applyFill="1" applyBorder="1"/>
    <xf numFmtId="44" fontId="7" fillId="2" borderId="35" xfId="0" applyNumberFormat="1" applyFont="1" applyFill="1" applyBorder="1"/>
    <xf numFmtId="0" fontId="7" fillId="2" borderId="36" xfId="0" applyFont="1" applyFill="1" applyBorder="1"/>
    <xf numFmtId="0" fontId="6" fillId="0" borderId="1" xfId="2" applyFont="1" applyBorder="1"/>
    <xf numFmtId="44" fontId="6" fillId="0" borderId="1" xfId="1" applyFont="1" applyBorder="1"/>
    <xf numFmtId="0" fontId="6" fillId="0" borderId="1" xfId="0" applyFont="1" applyBorder="1"/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44" fontId="6" fillId="9" borderId="33" xfId="1" applyFont="1" applyFill="1" applyBorder="1"/>
    <xf numFmtId="44" fontId="15" fillId="2" borderId="36" xfId="0" applyNumberFormat="1" applyFont="1" applyFill="1" applyBorder="1"/>
    <xf numFmtId="44" fontId="15" fillId="2" borderId="37" xfId="0" applyNumberFormat="1" applyFont="1" applyFill="1" applyBorder="1"/>
    <xf numFmtId="0" fontId="7" fillId="0" borderId="1" xfId="2" applyFont="1" applyBorder="1"/>
    <xf numFmtId="165" fontId="5" fillId="11" borderId="12" xfId="0" applyNumberFormat="1" applyFont="1" applyFill="1" applyBorder="1"/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44" fontId="7" fillId="9" borderId="1" xfId="0" applyNumberFormat="1" applyFont="1" applyFill="1" applyBorder="1"/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13" fillId="9" borderId="38" xfId="0" applyFont="1" applyFill="1" applyBorder="1" applyAlignment="1">
      <alignment horizontal="center" vertical="center"/>
    </xf>
    <xf numFmtId="0" fontId="13" fillId="9" borderId="41" xfId="0" applyFont="1" applyFill="1" applyBorder="1" applyAlignment="1">
      <alignment horizontal="center" vertical="center"/>
    </xf>
    <xf numFmtId="44" fontId="14" fillId="12" borderId="39" xfId="0" applyNumberFormat="1" applyFont="1" applyFill="1" applyBorder="1" applyAlignment="1">
      <alignment horizontal="center" vertical="center"/>
    </xf>
    <xf numFmtId="0" fontId="14" fillId="12" borderId="39" xfId="0" applyFont="1" applyFill="1" applyBorder="1" applyAlignment="1">
      <alignment horizontal="center" vertical="center"/>
    </xf>
    <xf numFmtId="0" fontId="14" fillId="12" borderId="35" xfId="0" applyFont="1" applyFill="1" applyBorder="1" applyAlignment="1">
      <alignment horizontal="center" vertical="center"/>
    </xf>
    <xf numFmtId="44" fontId="14" fillId="12" borderId="40" xfId="0" applyNumberFormat="1" applyFont="1" applyFill="1" applyBorder="1" applyAlignment="1">
      <alignment horizontal="center" vertical="center"/>
    </xf>
    <xf numFmtId="0" fontId="14" fillId="12" borderId="37" xfId="0" applyFont="1" applyFill="1" applyBorder="1" applyAlignment="1">
      <alignment horizontal="center" vertical="center"/>
    </xf>
    <xf numFmtId="0" fontId="10" fillId="10" borderId="24" xfId="0" applyFont="1" applyFill="1" applyBorder="1" applyAlignment="1">
      <alignment horizontal="center"/>
    </xf>
    <xf numFmtId="0" fontId="10" fillId="10" borderId="25" xfId="0" applyFont="1" applyFill="1" applyBorder="1" applyAlignment="1">
      <alignment horizontal="center"/>
    </xf>
    <xf numFmtId="0" fontId="10" fillId="10" borderId="26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10" borderId="22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0" fillId="10" borderId="28" xfId="0" applyFill="1" applyBorder="1" applyAlignment="1">
      <alignment horizontal="center"/>
    </xf>
    <xf numFmtId="0" fontId="0" fillId="10" borderId="29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12" fillId="10" borderId="21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/>
    </xf>
    <xf numFmtId="0" fontId="12" fillId="10" borderId="23" xfId="0" applyFont="1" applyFill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/>
    </xf>
    <xf numFmtId="164" fontId="4" fillId="3" borderId="13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44" fontId="5" fillId="5" borderId="3" xfId="1" applyFont="1" applyFill="1" applyBorder="1" applyAlignment="1">
      <alignment horizontal="center" vertical="center"/>
    </xf>
    <xf numFmtId="44" fontId="5" fillId="5" borderId="5" xfId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/>
    </xf>
    <xf numFmtId="0" fontId="7" fillId="7" borderId="6" xfId="2" applyFont="1" applyFill="1" applyBorder="1" applyAlignment="1">
      <alignment horizontal="center" vertical="center" wrapText="1"/>
    </xf>
    <xf numFmtId="0" fontId="7" fillId="7" borderId="7" xfId="2" applyFont="1" applyFill="1" applyBorder="1" applyAlignment="1">
      <alignment horizontal="center" vertical="center" wrapText="1"/>
    </xf>
    <xf numFmtId="0" fontId="7" fillId="7" borderId="8" xfId="2" applyFont="1" applyFill="1" applyBorder="1" applyAlignment="1">
      <alignment horizontal="center" vertical="center" wrapText="1"/>
    </xf>
    <xf numFmtId="0" fontId="7" fillId="7" borderId="9" xfId="2" applyFont="1" applyFill="1" applyBorder="1" applyAlignment="1">
      <alignment horizontal="center" vertical="center" wrapText="1"/>
    </xf>
    <xf numFmtId="0" fontId="7" fillId="7" borderId="10" xfId="2" applyFont="1" applyFill="1" applyBorder="1" applyAlignment="1">
      <alignment horizontal="center" vertical="center" wrapText="1"/>
    </xf>
    <xf numFmtId="0" fontId="7" fillId="7" borderId="11" xfId="2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33CCCC"/>
      <color rgb="FF8BF9E7"/>
      <color rgb="FFC89BE9"/>
      <color rgb="FFF4A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0</xdr:row>
      <xdr:rowOff>213360</xdr:rowOff>
    </xdr:from>
    <xdr:to>
      <xdr:col>2</xdr:col>
      <xdr:colOff>1150620</xdr:colOff>
      <xdr:row>1</xdr:row>
      <xdr:rowOff>379680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0" y="213360"/>
          <a:ext cx="2659380" cy="600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G91"/>
  <sheetViews>
    <sheetView tabSelected="1" zoomScale="70" zoomScaleNormal="70" workbookViewId="0">
      <selection sqref="A1:G2"/>
    </sheetView>
  </sheetViews>
  <sheetFormatPr defaultRowHeight="14.4" x14ac:dyDescent="0.3"/>
  <cols>
    <col min="1" max="1" width="58.33203125" bestFit="1" customWidth="1"/>
    <col min="2" max="2" width="38.6640625" bestFit="1" customWidth="1"/>
    <col min="3" max="3" width="22" bestFit="1" customWidth="1"/>
    <col min="4" max="4" width="2.44140625" customWidth="1"/>
    <col min="5" max="5" width="38" bestFit="1" customWidth="1"/>
    <col min="6" max="6" width="35.5546875" bestFit="1" customWidth="1"/>
    <col min="7" max="7" width="20.21875" bestFit="1" customWidth="1"/>
  </cols>
  <sheetData>
    <row r="1" spans="1:7" ht="34.200000000000003" customHeight="1" x14ac:dyDescent="0.3">
      <c r="A1" s="179" t="s">
        <v>91</v>
      </c>
      <c r="B1" s="180"/>
      <c r="C1" s="180"/>
      <c r="D1" s="180"/>
      <c r="E1" s="180"/>
      <c r="F1" s="180"/>
      <c r="G1" s="181"/>
    </row>
    <row r="2" spans="1:7" ht="96.6" customHeight="1" thickBot="1" x14ac:dyDescent="0.35">
      <c r="A2" s="182"/>
      <c r="B2" s="183"/>
      <c r="C2" s="183"/>
      <c r="D2" s="183"/>
      <c r="E2" s="183"/>
      <c r="F2" s="183"/>
      <c r="G2" s="184"/>
    </row>
    <row r="3" spans="1:7" ht="39.6" customHeight="1" thickBot="1" x14ac:dyDescent="0.9">
      <c r="A3" s="188" t="s">
        <v>92</v>
      </c>
      <c r="B3" s="189"/>
      <c r="C3" s="189"/>
      <c r="D3" s="142"/>
      <c r="E3" s="189" t="s">
        <v>93</v>
      </c>
      <c r="F3" s="189"/>
      <c r="G3" s="190"/>
    </row>
    <row r="4" spans="1:7" ht="17.399999999999999" x14ac:dyDescent="0.3">
      <c r="A4" s="143" t="s">
        <v>0</v>
      </c>
      <c r="B4" s="130" t="s">
        <v>12</v>
      </c>
      <c r="C4" s="138" t="s">
        <v>1</v>
      </c>
      <c r="D4" s="185"/>
      <c r="E4" s="141" t="s">
        <v>0</v>
      </c>
      <c r="F4" s="130" t="s">
        <v>12</v>
      </c>
      <c r="G4" s="144" t="s">
        <v>1</v>
      </c>
    </row>
    <row r="5" spans="1:7" ht="17.399999999999999" x14ac:dyDescent="0.3">
      <c r="A5" s="145" t="s">
        <v>38</v>
      </c>
      <c r="B5" s="19">
        <f>'+ BAZAR'!G92</f>
        <v>0</v>
      </c>
      <c r="C5" s="139">
        <f>'+ BAZAR'!H93</f>
        <v>0</v>
      </c>
      <c r="D5" s="186"/>
      <c r="E5" s="157" t="s">
        <v>94</v>
      </c>
      <c r="F5" s="158">
        <f>'JHAMBA LE COOK'!G92</f>
        <v>0</v>
      </c>
      <c r="G5" s="162">
        <f>'JHAMBA LE COOK'!H93</f>
        <v>0</v>
      </c>
    </row>
    <row r="6" spans="1:7" ht="17.399999999999999" x14ac:dyDescent="0.3">
      <c r="A6" s="145" t="s">
        <v>34</v>
      </c>
      <c r="B6" s="19">
        <f>'2H VARIEDADES'!G92</f>
        <v>0</v>
      </c>
      <c r="C6" s="139">
        <f>'2H VARIEDADES'!H93</f>
        <v>0</v>
      </c>
      <c r="D6" s="186"/>
      <c r="E6" s="157" t="s">
        <v>95</v>
      </c>
      <c r="F6" s="158">
        <f>'POESY AVIAMENTOS 0001-37'!G92</f>
        <v>0</v>
      </c>
      <c r="G6" s="162">
        <f>'POESY AVIAMENTOS 0001-37'!H93</f>
        <v>0</v>
      </c>
    </row>
    <row r="7" spans="1:7" ht="17.399999999999999" x14ac:dyDescent="0.3">
      <c r="A7" s="145" t="s">
        <v>41</v>
      </c>
      <c r="B7" s="19">
        <f>ALJATEC!G92</f>
        <v>0</v>
      </c>
      <c r="C7" s="139">
        <f>ALJATEC!H93</f>
        <v>0</v>
      </c>
      <c r="D7" s="186"/>
      <c r="E7" s="165" t="s">
        <v>96</v>
      </c>
      <c r="F7" s="158">
        <f>'POESY AVIAMENTOS 0001-83'!G92</f>
        <v>0</v>
      </c>
      <c r="G7" s="162">
        <f>'POESY AVIAMENTOS 0001-83'!H93</f>
        <v>0</v>
      </c>
    </row>
    <row r="8" spans="1:7" ht="17.399999999999999" x14ac:dyDescent="0.3">
      <c r="A8" s="145" t="s">
        <v>66</v>
      </c>
      <c r="B8" s="19">
        <f>'AMEI COMERCIO'!G92</f>
        <v>0</v>
      </c>
      <c r="C8" s="139">
        <f>'AMEI COMERCIO'!H93</f>
        <v>0</v>
      </c>
      <c r="D8" s="186"/>
      <c r="E8" s="147" t="s">
        <v>55</v>
      </c>
      <c r="F8" s="19">
        <f>'MKS COMERCIO'!G92</f>
        <v>0</v>
      </c>
      <c r="G8" s="169">
        <f>'MKS COMERCIO'!H93</f>
        <v>0</v>
      </c>
    </row>
    <row r="9" spans="1:7" ht="17.399999999999999" x14ac:dyDescent="0.3">
      <c r="A9" s="145" t="s">
        <v>62</v>
      </c>
      <c r="B9" s="19">
        <f>'BELL FIFI'!G92</f>
        <v>0</v>
      </c>
      <c r="C9" s="139">
        <f>'BELL FIFI'!H93</f>
        <v>0</v>
      </c>
      <c r="D9" s="186"/>
      <c r="E9" s="159"/>
      <c r="F9" s="158"/>
      <c r="G9" s="162"/>
    </row>
    <row r="10" spans="1:7" ht="17.399999999999999" x14ac:dyDescent="0.3">
      <c r="A10" s="145" t="s">
        <v>67</v>
      </c>
      <c r="B10" s="19">
        <f>'CASA MIMO'!G92</f>
        <v>0</v>
      </c>
      <c r="C10" s="139">
        <f>'CASA MIMO'!H93</f>
        <v>0</v>
      </c>
      <c r="D10" s="186"/>
      <c r="E10" s="159"/>
      <c r="F10" s="158"/>
      <c r="G10" s="162"/>
    </row>
    <row r="11" spans="1:7" ht="17.399999999999999" x14ac:dyDescent="0.3">
      <c r="A11" s="145" t="s">
        <v>28</v>
      </c>
      <c r="B11" s="19">
        <f>'CELL SOLLUTIONS'!G98</f>
        <v>0</v>
      </c>
      <c r="C11" s="139">
        <f>'CELL SOLLUTIONS'!H99</f>
        <v>0</v>
      </c>
      <c r="D11" s="186"/>
      <c r="E11" s="159"/>
      <c r="F11" s="158"/>
      <c r="G11" s="162"/>
    </row>
    <row r="12" spans="1:7" ht="17.399999999999999" x14ac:dyDescent="0.3">
      <c r="A12" s="145" t="s">
        <v>45</v>
      </c>
      <c r="B12" s="19">
        <f>'COM. BRAS RAIMUNDO'!G92</f>
        <v>0</v>
      </c>
      <c r="C12" s="139">
        <f>'COM. BRAS RAIMUNDO'!H93</f>
        <v>0</v>
      </c>
      <c r="D12" s="186"/>
      <c r="E12" s="159"/>
      <c r="F12" s="158"/>
      <c r="G12" s="162"/>
    </row>
    <row r="13" spans="1:7" ht="17.399999999999999" x14ac:dyDescent="0.3">
      <c r="A13" s="146" t="s">
        <v>51</v>
      </c>
      <c r="B13" s="19">
        <f>'COM. MARTINS E MARTINS'!G92</f>
        <v>0</v>
      </c>
      <c r="C13" s="139">
        <f>'COM. MARTINS E MARTINS'!H93</f>
        <v>0</v>
      </c>
      <c r="D13" s="186"/>
      <c r="E13" s="159"/>
      <c r="F13" s="158"/>
      <c r="G13" s="162"/>
    </row>
    <row r="14" spans="1:7" ht="17.399999999999999" x14ac:dyDescent="0.3">
      <c r="A14" s="145" t="s">
        <v>36</v>
      </c>
      <c r="B14" s="19">
        <f>'COMERCIAL RONDONIA'!G92</f>
        <v>0</v>
      </c>
      <c r="C14" s="139">
        <f>'COMERCIAL RONDONIA'!H93</f>
        <v>0</v>
      </c>
      <c r="D14" s="186"/>
      <c r="E14" s="159"/>
      <c r="F14" s="158"/>
      <c r="G14" s="162"/>
    </row>
    <row r="15" spans="1:7" ht="17.399999999999999" x14ac:dyDescent="0.3">
      <c r="A15" s="145" t="s">
        <v>98</v>
      </c>
      <c r="B15" s="19">
        <f>'C R DOS SANTOS'!G92</f>
        <v>0</v>
      </c>
      <c r="C15" s="139">
        <f>'C R DOS SANTOS'!H93</f>
        <v>0</v>
      </c>
      <c r="D15" s="186"/>
      <c r="E15" s="159"/>
      <c r="F15" s="158"/>
      <c r="G15" s="162"/>
    </row>
    <row r="16" spans="1:7" ht="17.399999999999999" x14ac:dyDescent="0.3">
      <c r="A16" s="145" t="s">
        <v>46</v>
      </c>
      <c r="B16" s="19">
        <f>'CRIS KING BIJU'!G92</f>
        <v>0</v>
      </c>
      <c r="C16" s="139">
        <f>'CRIS KING BIJU'!H93</f>
        <v>0</v>
      </c>
      <c r="D16" s="186"/>
      <c r="E16" s="159"/>
      <c r="F16" s="158"/>
      <c r="G16" s="162"/>
    </row>
    <row r="17" spans="1:7" ht="17.399999999999999" x14ac:dyDescent="0.3">
      <c r="A17" s="147" t="s">
        <v>30</v>
      </c>
      <c r="B17" s="19">
        <f>'CRIS MODAS'!G92</f>
        <v>0</v>
      </c>
      <c r="C17" s="139">
        <f>'CRIS MODAS'!H93</f>
        <v>0</v>
      </c>
      <c r="D17" s="186"/>
      <c r="E17" s="159"/>
      <c r="F17" s="158"/>
      <c r="G17" s="162"/>
    </row>
    <row r="18" spans="1:7" ht="17.399999999999999" x14ac:dyDescent="0.3">
      <c r="A18" s="147" t="s">
        <v>47</v>
      </c>
      <c r="B18" s="19">
        <f>'DECAZZA COM'!G92</f>
        <v>0</v>
      </c>
      <c r="C18" s="139">
        <f>'DECAZZA COM'!H93</f>
        <v>0</v>
      </c>
      <c r="D18" s="186"/>
      <c r="E18" s="159"/>
      <c r="F18" s="158"/>
      <c r="G18" s="162"/>
    </row>
    <row r="19" spans="1:7" ht="17.399999999999999" x14ac:dyDescent="0.3">
      <c r="A19" s="147" t="s">
        <v>73</v>
      </c>
      <c r="B19" s="19">
        <f>'DF COMERCIO'!G92</f>
        <v>0</v>
      </c>
      <c r="C19" s="139">
        <f>'DF COMERCIO'!H93</f>
        <v>0</v>
      </c>
      <c r="D19" s="186"/>
      <c r="E19" s="159"/>
      <c r="F19" s="158"/>
      <c r="G19" s="162"/>
    </row>
    <row r="20" spans="1:7" ht="17.399999999999999" x14ac:dyDescent="0.3">
      <c r="A20" s="147" t="s">
        <v>85</v>
      </c>
      <c r="B20" s="19">
        <f>D.TSIANG!G92</f>
        <v>0</v>
      </c>
      <c r="C20" s="139">
        <f>D.TSIANG!H93</f>
        <v>0</v>
      </c>
      <c r="D20" s="186"/>
      <c r="E20" s="159"/>
      <c r="F20" s="158"/>
      <c r="G20" s="162"/>
    </row>
    <row r="21" spans="1:7" ht="17.399999999999999" x14ac:dyDescent="0.3">
      <c r="A21" s="145" t="s">
        <v>35</v>
      </c>
      <c r="B21" s="19">
        <f>'DELL REI'!G92</f>
        <v>0</v>
      </c>
      <c r="C21" s="139">
        <f>'DELL REI'!H93</f>
        <v>0</v>
      </c>
      <c r="D21" s="186"/>
      <c r="E21" s="159"/>
      <c r="F21" s="158"/>
      <c r="G21" s="162"/>
    </row>
    <row r="22" spans="1:7" ht="17.399999999999999" x14ac:dyDescent="0.3">
      <c r="A22" s="145" t="s">
        <v>44</v>
      </c>
      <c r="B22" s="19">
        <f>'DISTR. GOMES LISBOA'!G92</f>
        <v>0</v>
      </c>
      <c r="C22" s="139">
        <f>'DISTR. GOMES LISBOA'!H93</f>
        <v>0</v>
      </c>
      <c r="D22" s="186"/>
      <c r="E22" s="159"/>
      <c r="F22" s="158"/>
      <c r="G22" s="162"/>
    </row>
    <row r="23" spans="1:7" ht="17.399999999999999" x14ac:dyDescent="0.3">
      <c r="A23" s="145" t="s">
        <v>48</v>
      </c>
      <c r="B23" s="19">
        <f>'EMBALEME COMERCIO'!G92</f>
        <v>0</v>
      </c>
      <c r="C23" s="139">
        <f>'EMBALEME COMERCIO'!H93</f>
        <v>0</v>
      </c>
      <c r="D23" s="186"/>
      <c r="E23" s="159"/>
      <c r="F23" s="158"/>
      <c r="G23" s="162"/>
    </row>
    <row r="24" spans="1:7" ht="17.399999999999999" x14ac:dyDescent="0.3">
      <c r="A24" s="145" t="s">
        <v>75</v>
      </c>
      <c r="B24" s="19">
        <f>'ERICA SHIRLEY'!G92</f>
        <v>0</v>
      </c>
      <c r="C24" s="139">
        <f>'ERICA SHIRLEY'!H93</f>
        <v>0</v>
      </c>
      <c r="D24" s="186"/>
      <c r="E24" s="159"/>
      <c r="F24" s="158"/>
      <c r="G24" s="162"/>
    </row>
    <row r="25" spans="1:7" ht="17.399999999999999" x14ac:dyDescent="0.3">
      <c r="A25" s="145" t="s">
        <v>72</v>
      </c>
      <c r="B25" s="19">
        <f>'EVELINY MARIA'!G92</f>
        <v>0</v>
      </c>
      <c r="C25" s="139">
        <f>'EVELINY MARIA'!H93</f>
        <v>0</v>
      </c>
      <c r="D25" s="186"/>
      <c r="E25" s="159"/>
      <c r="F25" s="158"/>
      <c r="G25" s="162"/>
    </row>
    <row r="26" spans="1:7" ht="17.399999999999999" x14ac:dyDescent="0.3">
      <c r="A26" s="145" t="s">
        <v>90</v>
      </c>
      <c r="B26" s="19">
        <f>'ELINETE JARDIM'!G92</f>
        <v>0</v>
      </c>
      <c r="C26" s="139">
        <f>'ELINETE JARDIM'!H93</f>
        <v>0</v>
      </c>
      <c r="D26" s="186"/>
      <c r="E26" s="159"/>
      <c r="F26" s="158"/>
      <c r="G26" s="162"/>
    </row>
    <row r="27" spans="1:7" ht="17.399999999999999" x14ac:dyDescent="0.3">
      <c r="A27" s="145" t="s">
        <v>39</v>
      </c>
      <c r="B27" s="19">
        <f>'FEST SHOW'!G92</f>
        <v>0</v>
      </c>
      <c r="C27" s="139">
        <f>'FEST SHOW'!H93</f>
        <v>0</v>
      </c>
      <c r="D27" s="186"/>
      <c r="E27" s="159"/>
      <c r="F27" s="158"/>
      <c r="G27" s="162"/>
    </row>
    <row r="28" spans="1:7" ht="17.399999999999999" x14ac:dyDescent="0.3">
      <c r="A28" s="145" t="s">
        <v>15</v>
      </c>
      <c r="B28" s="19">
        <f>'FLAMBOYAN '!G131</f>
        <v>0</v>
      </c>
      <c r="C28" s="139">
        <f>'FLAMBOYAN '!H132</f>
        <v>0</v>
      </c>
      <c r="D28" s="186"/>
      <c r="E28" s="159"/>
      <c r="F28" s="158"/>
      <c r="G28" s="162"/>
    </row>
    <row r="29" spans="1:7" ht="17.399999999999999" x14ac:dyDescent="0.3">
      <c r="A29" s="145" t="s">
        <v>56</v>
      </c>
      <c r="B29" s="19">
        <f>'FLÁVIA COMERCIO'!G92</f>
        <v>0</v>
      </c>
      <c r="C29" s="139">
        <f>'FLÁVIA COMERCIO'!H93</f>
        <v>0</v>
      </c>
      <c r="D29" s="186"/>
      <c r="E29" s="159"/>
      <c r="F29" s="158"/>
      <c r="G29" s="162"/>
    </row>
    <row r="30" spans="1:7" ht="17.399999999999999" x14ac:dyDescent="0.3">
      <c r="A30" s="145" t="s">
        <v>50</v>
      </c>
      <c r="B30" s="19">
        <f>'FLAP KIDS'!G92</f>
        <v>0</v>
      </c>
      <c r="C30" s="139">
        <f>'FLAP KIDS'!H93</f>
        <v>0</v>
      </c>
      <c r="D30" s="186"/>
      <c r="E30" s="159"/>
      <c r="F30" s="158"/>
      <c r="G30" s="162"/>
    </row>
    <row r="31" spans="1:7" ht="17.399999999999999" x14ac:dyDescent="0.3">
      <c r="A31" s="145" t="s">
        <v>65</v>
      </c>
      <c r="B31" s="19">
        <f>'FRANK PAPELARIA'!G92</f>
        <v>0</v>
      </c>
      <c r="C31" s="139">
        <f>'FRANK PAPELARIA'!H93</f>
        <v>0</v>
      </c>
      <c r="D31" s="186"/>
      <c r="E31" s="159"/>
      <c r="F31" s="158"/>
      <c r="G31" s="162"/>
    </row>
    <row r="32" spans="1:7" ht="17.399999999999999" x14ac:dyDescent="0.3">
      <c r="A32" s="145" t="s">
        <v>57</v>
      </c>
      <c r="B32" s="19">
        <f>'GETULIO LIRA'!G92</f>
        <v>0</v>
      </c>
      <c r="C32" s="139">
        <f>'GETULIO LIRA'!H93</f>
        <v>0</v>
      </c>
      <c r="D32" s="186"/>
      <c r="E32" s="159"/>
      <c r="F32" s="158"/>
      <c r="G32" s="162"/>
    </row>
    <row r="33" spans="1:7" ht="17.399999999999999" x14ac:dyDescent="0.3">
      <c r="A33" s="145" t="s">
        <v>79</v>
      </c>
      <c r="B33" s="19">
        <f>'GIULIANA CHRISTIELLE'!G92</f>
        <v>0</v>
      </c>
      <c r="C33" s="139">
        <f>'GIULIANA CHRISTIELLE'!H93</f>
        <v>0</v>
      </c>
      <c r="D33" s="186"/>
      <c r="E33" s="159"/>
      <c r="F33" s="158"/>
      <c r="G33" s="162"/>
    </row>
    <row r="34" spans="1:7" ht="17.399999999999999" x14ac:dyDescent="0.3">
      <c r="A34" s="148" t="s">
        <v>77</v>
      </c>
      <c r="B34" s="19">
        <f>IPED!G92</f>
        <v>0</v>
      </c>
      <c r="C34" s="139">
        <f>IPED!H93</f>
        <v>0</v>
      </c>
      <c r="D34" s="186"/>
      <c r="E34" s="159"/>
      <c r="F34" s="158"/>
      <c r="G34" s="162"/>
    </row>
    <row r="35" spans="1:7" ht="17.399999999999999" x14ac:dyDescent="0.3">
      <c r="A35" s="147" t="s">
        <v>33</v>
      </c>
      <c r="B35" s="19">
        <f>'IVANETE JATAI'!G92</f>
        <v>0</v>
      </c>
      <c r="C35" s="139">
        <f>'IVANETE JATAI'!H93</f>
        <v>0</v>
      </c>
      <c r="D35" s="186"/>
      <c r="E35" s="159"/>
      <c r="F35" s="158"/>
      <c r="G35" s="162"/>
    </row>
    <row r="36" spans="1:7" ht="17.399999999999999" x14ac:dyDescent="0.3">
      <c r="A36" s="147" t="s">
        <v>63</v>
      </c>
      <c r="B36" s="19">
        <f>JANDERRUBEM!G92</f>
        <v>0</v>
      </c>
      <c r="C36" s="139">
        <f>JANDERRUBEM!H93</f>
        <v>0</v>
      </c>
      <c r="D36" s="186"/>
      <c r="E36" s="159"/>
      <c r="F36" s="158"/>
      <c r="G36" s="162"/>
    </row>
    <row r="37" spans="1:7" ht="17.399999999999999" x14ac:dyDescent="0.3">
      <c r="A37" s="147" t="s">
        <v>83</v>
      </c>
      <c r="B37" s="19">
        <f>'JANE STER'!G92</f>
        <v>0</v>
      </c>
      <c r="C37" s="139">
        <f>'JANE STER'!H93</f>
        <v>0</v>
      </c>
      <c r="D37" s="186"/>
      <c r="E37" s="159"/>
      <c r="F37" s="158"/>
      <c r="G37" s="162"/>
    </row>
    <row r="38" spans="1:7" ht="17.399999999999999" x14ac:dyDescent="0.3">
      <c r="A38" s="147" t="s">
        <v>74</v>
      </c>
      <c r="B38" s="19">
        <f>'J L A HUNCA'!G92</f>
        <v>0</v>
      </c>
      <c r="C38" s="139">
        <f>'J L A HUNCA'!H93</f>
        <v>0</v>
      </c>
      <c r="D38" s="186"/>
      <c r="E38" s="159"/>
      <c r="F38" s="158"/>
      <c r="G38" s="162"/>
    </row>
    <row r="39" spans="1:7" ht="17.399999999999999" x14ac:dyDescent="0.3">
      <c r="A39" s="147" t="s">
        <v>86</v>
      </c>
      <c r="B39" s="19">
        <f>KMRG!G92</f>
        <v>0</v>
      </c>
      <c r="C39" s="139">
        <f>KMRG!H93</f>
        <v>0</v>
      </c>
      <c r="D39" s="186"/>
      <c r="E39" s="159"/>
      <c r="F39" s="158"/>
      <c r="G39" s="162"/>
    </row>
    <row r="40" spans="1:7" ht="17.399999999999999" x14ac:dyDescent="0.3">
      <c r="A40" s="147" t="s">
        <v>97</v>
      </c>
      <c r="B40" s="19">
        <f>'L. SOUZA'!G92</f>
        <v>0</v>
      </c>
      <c r="C40" s="139">
        <f>'L. SOUZA'!H93</f>
        <v>0</v>
      </c>
      <c r="D40" s="186"/>
      <c r="E40" s="159"/>
      <c r="F40" s="158"/>
      <c r="G40" s="162"/>
    </row>
    <row r="41" spans="1:7" ht="17.399999999999999" x14ac:dyDescent="0.3">
      <c r="A41" s="147" t="s">
        <v>58</v>
      </c>
      <c r="B41" s="19">
        <f>'LACORDAIRE TELES'!G92</f>
        <v>0</v>
      </c>
      <c r="C41" s="139">
        <f>'LACORDAIRE TELES'!H93</f>
        <v>0</v>
      </c>
      <c r="D41" s="186"/>
      <c r="E41" s="159"/>
      <c r="F41" s="158"/>
      <c r="G41" s="162"/>
    </row>
    <row r="42" spans="1:7" ht="17.399999999999999" x14ac:dyDescent="0.3">
      <c r="A42" s="147" t="s">
        <v>42</v>
      </c>
      <c r="B42" s="19">
        <f>'LOJÃO CASA SILVA'!G92</f>
        <v>0</v>
      </c>
      <c r="C42" s="139">
        <f>'LOJÃO CASA SILVA'!H93</f>
        <v>0</v>
      </c>
      <c r="D42" s="186"/>
      <c r="E42" s="159"/>
      <c r="F42" s="158"/>
      <c r="G42" s="162"/>
    </row>
    <row r="43" spans="1:7" ht="17.399999999999999" x14ac:dyDescent="0.3">
      <c r="A43" s="147" t="s">
        <v>82</v>
      </c>
      <c r="B43" s="19">
        <f>'LOJAS MARIA'!G92</f>
        <v>0</v>
      </c>
      <c r="C43" s="139">
        <f>'LOJAS MARIA'!H93</f>
        <v>0</v>
      </c>
      <c r="D43" s="186"/>
      <c r="E43" s="159"/>
      <c r="F43" s="158"/>
      <c r="G43" s="162"/>
    </row>
    <row r="44" spans="1:7" ht="17.399999999999999" x14ac:dyDescent="0.3">
      <c r="A44" s="145" t="s">
        <v>16</v>
      </c>
      <c r="B44" s="19">
        <f>'MAIS QUE MAKE AÇAILANDIA'!G92</f>
        <v>0</v>
      </c>
      <c r="C44" s="139">
        <f>'MAIS QUE MAKE AÇAILANDIA'!H93</f>
        <v>0</v>
      </c>
      <c r="D44" s="186"/>
      <c r="E44" s="159"/>
      <c r="F44" s="158"/>
      <c r="G44" s="162"/>
    </row>
    <row r="45" spans="1:7" ht="17.399999999999999" x14ac:dyDescent="0.3">
      <c r="A45" s="145" t="s">
        <v>23</v>
      </c>
      <c r="B45" s="19">
        <f>'MAIS QUE MAKE ALTA FLORESTA'!G92</f>
        <v>0</v>
      </c>
      <c r="C45" s="139">
        <f>'MAIS QUE MAKE ALTA FLORESTA'!H93</f>
        <v>0</v>
      </c>
      <c r="D45" s="186"/>
      <c r="E45" s="159"/>
      <c r="F45" s="158"/>
      <c r="G45" s="162"/>
    </row>
    <row r="46" spans="1:7" ht="17.399999999999999" x14ac:dyDescent="0.3">
      <c r="A46" s="145" t="s">
        <v>24</v>
      </c>
      <c r="B46" s="19">
        <f>'MAIS QUE MAKE ALTAMIRA'!G92</f>
        <v>0</v>
      </c>
      <c r="C46" s="139">
        <f>'MAIS QUE MAKE ALTAMIRA'!H93</f>
        <v>0</v>
      </c>
      <c r="D46" s="186"/>
      <c r="E46" s="159"/>
      <c r="F46" s="158"/>
      <c r="G46" s="162"/>
    </row>
    <row r="47" spans="1:7" ht="17.399999999999999" x14ac:dyDescent="0.3">
      <c r="A47" s="145" t="s">
        <v>25</v>
      </c>
      <c r="B47" s="19">
        <f>'MAIS QUE MAKE ARAGUAINA'!G92</f>
        <v>0</v>
      </c>
      <c r="C47" s="139">
        <f>'MAIS QUE MAKE ARAGUAINA'!H93</f>
        <v>0</v>
      </c>
      <c r="D47" s="186"/>
      <c r="E47" s="159"/>
      <c r="F47" s="158"/>
      <c r="G47" s="162"/>
    </row>
    <row r="48" spans="1:7" ht="17.399999999999999" x14ac:dyDescent="0.3">
      <c r="A48" s="145" t="s">
        <v>27</v>
      </c>
      <c r="B48" s="19">
        <f>'MAIS QUE MAKE BALSAS'!G92</f>
        <v>0</v>
      </c>
      <c r="C48" s="139">
        <f>'MAIS QUE MAKE BALSAS'!H93</f>
        <v>0</v>
      </c>
      <c r="D48" s="186"/>
      <c r="E48" s="159"/>
      <c r="F48" s="158"/>
      <c r="G48" s="162"/>
    </row>
    <row r="49" spans="1:7" ht="17.399999999999999" x14ac:dyDescent="0.3">
      <c r="A49" s="145" t="s">
        <v>53</v>
      </c>
      <c r="B49" s="19">
        <f>'MAIS QUE MAKE BURITICUPU'!G92</f>
        <v>0</v>
      </c>
      <c r="C49" s="139">
        <f>'MAIS QUE MAKE BURITICUPU'!H93</f>
        <v>0</v>
      </c>
      <c r="D49" s="186"/>
      <c r="E49" s="159"/>
      <c r="F49" s="158"/>
      <c r="G49" s="162"/>
    </row>
    <row r="50" spans="1:7" ht="17.399999999999999" x14ac:dyDescent="0.3">
      <c r="A50" s="145" t="s">
        <v>21</v>
      </c>
      <c r="B50" s="19">
        <f>'MAIS QUE MAKE IMPERATRIZ '!G92</f>
        <v>0</v>
      </c>
      <c r="C50" s="139">
        <f>'MAIS QUE MAKE IMPERATRIZ '!H93</f>
        <v>0</v>
      </c>
      <c r="D50" s="186"/>
      <c r="E50" s="159"/>
      <c r="F50" s="158"/>
      <c r="G50" s="162"/>
    </row>
    <row r="51" spans="1:7" ht="17.399999999999999" x14ac:dyDescent="0.3">
      <c r="A51" s="145" t="s">
        <v>22</v>
      </c>
      <c r="B51" s="19">
        <f>'MAIS QUE MAKE IMPERATRIZ AT'!G92</f>
        <v>0</v>
      </c>
      <c r="C51" s="139">
        <f>'MAIS QUE MAKE IMPERATRIZ AT'!H93</f>
        <v>0</v>
      </c>
      <c r="D51" s="186"/>
      <c r="E51" s="159"/>
      <c r="F51" s="158"/>
      <c r="G51" s="162"/>
    </row>
    <row r="52" spans="1:7" ht="17.399999999999999" x14ac:dyDescent="0.3">
      <c r="A52" s="145" t="s">
        <v>26</v>
      </c>
      <c r="B52" s="19">
        <f>'MAIS QUE MAKE ITAITUBA'!G92</f>
        <v>0</v>
      </c>
      <c r="C52" s="139">
        <f>'MAIS QUE MAKE ITAITUBA'!H93</f>
        <v>0</v>
      </c>
      <c r="D52" s="186"/>
      <c r="E52" s="159"/>
      <c r="F52" s="158"/>
      <c r="G52" s="162"/>
    </row>
    <row r="53" spans="1:7" ht="17.399999999999999" x14ac:dyDescent="0.3">
      <c r="A53" s="145" t="s">
        <v>20</v>
      </c>
      <c r="B53" s="19">
        <f>'MAIS QUE MAKE MARABÁ'!G92</f>
        <v>0</v>
      </c>
      <c r="C53" s="139">
        <f>'MAIS QUE MAKE MARABÁ'!H93</f>
        <v>0</v>
      </c>
      <c r="D53" s="186"/>
      <c r="E53" s="159"/>
      <c r="F53" s="158"/>
      <c r="G53" s="162"/>
    </row>
    <row r="54" spans="1:7" ht="17.399999999999999" x14ac:dyDescent="0.3">
      <c r="A54" s="145" t="s">
        <v>19</v>
      </c>
      <c r="B54" s="19">
        <f>'MAIS QUE MAKE PARAUPEBAS'!G92</f>
        <v>0</v>
      </c>
      <c r="C54" s="139">
        <f>'MAIS QUE MAKE PARAUPEBAS AT'!H93</f>
        <v>0</v>
      </c>
      <c r="D54" s="186"/>
      <c r="E54" s="159"/>
      <c r="F54" s="158"/>
      <c r="G54" s="162"/>
    </row>
    <row r="55" spans="1:7" ht="17.399999999999999" x14ac:dyDescent="0.3">
      <c r="A55" s="145" t="s">
        <v>71</v>
      </c>
      <c r="B55" s="19">
        <f>'MAIS QUE MAKE PARAUPEBAS AT'!G92</f>
        <v>0</v>
      </c>
      <c r="C55" s="139">
        <f>'MAIS QUE MAKE PARAUPEBAS'!H93</f>
        <v>0</v>
      </c>
      <c r="D55" s="186"/>
      <c r="E55" s="159"/>
      <c r="F55" s="158"/>
      <c r="G55" s="162"/>
    </row>
    <row r="56" spans="1:7" ht="17.399999999999999" x14ac:dyDescent="0.3">
      <c r="A56" s="145" t="s">
        <v>31</v>
      </c>
      <c r="B56" s="19">
        <f>'MAIS QUE MAKE SANTAREM '!G92</f>
        <v>0</v>
      </c>
      <c r="C56" s="139">
        <f>'MAIS QUE MAKE SANTAREM '!H93</f>
        <v>0</v>
      </c>
      <c r="D56" s="186"/>
      <c r="E56" s="159"/>
      <c r="F56" s="158"/>
      <c r="G56" s="162"/>
    </row>
    <row r="57" spans="1:7" ht="17.399999999999999" x14ac:dyDescent="0.3">
      <c r="A57" s="145" t="s">
        <v>17</v>
      </c>
      <c r="B57" s="19">
        <f>'MAIS QUE MAKE SANTAREM BIJU'!G92</f>
        <v>0</v>
      </c>
      <c r="C57" s="139">
        <f>'MAIS QUE MAKE SANTAREM BIJU'!H93</f>
        <v>0</v>
      </c>
      <c r="D57" s="186"/>
      <c r="E57" s="159"/>
      <c r="F57" s="158"/>
      <c r="G57" s="162"/>
    </row>
    <row r="58" spans="1:7" ht="17.399999999999999" x14ac:dyDescent="0.3">
      <c r="A58" s="145" t="s">
        <v>54</v>
      </c>
      <c r="B58" s="19">
        <f>'MAIS QUE MAKE SÃO LUIS'!G92</f>
        <v>0</v>
      </c>
      <c r="C58" s="139">
        <f>'MAIS QUE MAKE SÃO LUIS'!H93</f>
        <v>0</v>
      </c>
      <c r="D58" s="186"/>
      <c r="E58" s="159"/>
      <c r="F58" s="158"/>
      <c r="G58" s="162"/>
    </row>
    <row r="59" spans="1:7" ht="17.399999999999999" x14ac:dyDescent="0.3">
      <c r="A59" s="145" t="s">
        <v>18</v>
      </c>
      <c r="B59" s="19">
        <f>'MAIS QUE MAKE VARZEA GRANDE'!G92</f>
        <v>0</v>
      </c>
      <c r="C59" s="139">
        <f>'MAIS QUE MAKE VARZEA GRANDE'!H93</f>
        <v>0</v>
      </c>
      <c r="D59" s="186"/>
      <c r="E59" s="159"/>
      <c r="F59" s="158"/>
      <c r="G59" s="162"/>
    </row>
    <row r="60" spans="1:7" ht="17.399999999999999" x14ac:dyDescent="0.3">
      <c r="A60" s="147" t="s">
        <v>29</v>
      </c>
      <c r="B60" s="19">
        <f>'MARIA DO PERPETUO SOCOORO'!G92</f>
        <v>0</v>
      </c>
      <c r="C60" s="139">
        <f>'MARIA DO PERPETUO SOCOORO'!H93</f>
        <v>0</v>
      </c>
      <c r="D60" s="186"/>
      <c r="E60" s="159"/>
      <c r="F60" s="158"/>
      <c r="G60" s="162"/>
    </row>
    <row r="61" spans="1:7" ht="17.399999999999999" x14ac:dyDescent="0.3">
      <c r="A61" s="147" t="s">
        <v>70</v>
      </c>
      <c r="B61" s="19">
        <f>'MRC8'!G92</f>
        <v>0</v>
      </c>
      <c r="C61" s="139">
        <f>'MRC8'!H93</f>
        <v>0</v>
      </c>
      <c r="D61" s="186"/>
      <c r="E61" s="159"/>
      <c r="F61" s="158"/>
      <c r="G61" s="162"/>
    </row>
    <row r="62" spans="1:7" ht="17.399999999999999" x14ac:dyDescent="0.3">
      <c r="A62" s="147" t="s">
        <v>80</v>
      </c>
      <c r="B62" s="19">
        <f>'NAVIO SERVIÇOS'!G92</f>
        <v>0</v>
      </c>
      <c r="C62" s="139">
        <f>'NAVIO SERVIÇOS'!H93</f>
        <v>0</v>
      </c>
      <c r="D62" s="186"/>
      <c r="E62" s="159"/>
      <c r="F62" s="158"/>
      <c r="G62" s="162"/>
    </row>
    <row r="63" spans="1:7" ht="17.399999999999999" x14ac:dyDescent="0.3">
      <c r="A63" s="147" t="s">
        <v>52</v>
      </c>
      <c r="B63" s="19">
        <f>'PINK GLAMOUR'!G92</f>
        <v>0</v>
      </c>
      <c r="C63" s="139">
        <f>'PINK GLAMOUR'!H93</f>
        <v>0</v>
      </c>
      <c r="D63" s="186"/>
      <c r="E63" s="159"/>
      <c r="F63" s="158"/>
      <c r="G63" s="162"/>
    </row>
    <row r="64" spans="1:7" ht="17.399999999999999" x14ac:dyDescent="0.3">
      <c r="A64" s="147" t="s">
        <v>59</v>
      </c>
      <c r="B64" s="19">
        <f>'RAPPY TOYS'!G92</f>
        <v>0</v>
      </c>
      <c r="C64" s="139">
        <f>'RAPPY TOYS'!H93</f>
        <v>0</v>
      </c>
      <c r="D64" s="186"/>
      <c r="E64" s="159"/>
      <c r="F64" s="158"/>
      <c r="G64" s="162"/>
    </row>
    <row r="65" spans="1:7" ht="17.399999999999999" x14ac:dyDescent="0.3">
      <c r="A65" s="147" t="s">
        <v>84</v>
      </c>
      <c r="B65" s="19">
        <f>'REALZÃO IMP'!G92</f>
        <v>0</v>
      </c>
      <c r="C65" s="139">
        <f>'REALZÃO IMP'!H93</f>
        <v>0</v>
      </c>
      <c r="D65" s="186"/>
      <c r="E65" s="159"/>
      <c r="F65" s="158"/>
      <c r="G65" s="162"/>
    </row>
    <row r="66" spans="1:7" ht="17.399999999999999" x14ac:dyDescent="0.3">
      <c r="A66" s="147" t="s">
        <v>68</v>
      </c>
      <c r="B66" s="19">
        <f>'REALZÃO MONICA'!G92</f>
        <v>0</v>
      </c>
      <c r="C66" s="139">
        <f>'REALZÃO MONICA'!H93</f>
        <v>0</v>
      </c>
      <c r="D66" s="186"/>
      <c r="E66" s="159"/>
      <c r="F66" s="158"/>
      <c r="G66" s="162"/>
    </row>
    <row r="67" spans="1:7" ht="17.399999999999999" x14ac:dyDescent="0.3">
      <c r="A67" s="147" t="s">
        <v>88</v>
      </c>
      <c r="B67" s="19">
        <f>SAMUAH!G92</f>
        <v>0</v>
      </c>
      <c r="C67" s="139">
        <f>SAMUAH!H93</f>
        <v>0</v>
      </c>
      <c r="D67" s="186"/>
      <c r="E67" s="159"/>
      <c r="F67" s="158"/>
      <c r="G67" s="162"/>
    </row>
    <row r="68" spans="1:7" ht="17.399999999999999" x14ac:dyDescent="0.3">
      <c r="A68" s="147" t="s">
        <v>40</v>
      </c>
      <c r="B68" s="19">
        <f>'SKR BEZERRA'!G92</f>
        <v>0</v>
      </c>
      <c r="C68" s="139">
        <f>'SKR BEZERRA'!H93</f>
        <v>0</v>
      </c>
      <c r="D68" s="186"/>
      <c r="E68" s="159"/>
      <c r="F68" s="158"/>
      <c r="G68" s="162"/>
    </row>
    <row r="69" spans="1:7" ht="17.399999999999999" x14ac:dyDescent="0.3">
      <c r="A69" s="147" t="s">
        <v>49</v>
      </c>
      <c r="B69" s="19">
        <f>'SMART BUY'!G92</f>
        <v>0</v>
      </c>
      <c r="C69" s="139">
        <f>'SMART BUY'!H93</f>
        <v>0</v>
      </c>
      <c r="D69" s="186"/>
      <c r="E69" s="159"/>
      <c r="F69" s="158"/>
      <c r="G69" s="162"/>
    </row>
    <row r="70" spans="1:7" ht="17.399999999999999" x14ac:dyDescent="0.3">
      <c r="A70" s="149" t="s">
        <v>37</v>
      </c>
      <c r="B70" s="19">
        <f>'SUPERMERCADO RODRIGUES'!G92</f>
        <v>0</v>
      </c>
      <c r="C70" s="139">
        <f>'SUPERMERCADO RODRIGUES'!H93</f>
        <v>0</v>
      </c>
      <c r="D70" s="186"/>
      <c r="E70" s="159"/>
      <c r="F70" s="158"/>
      <c r="G70" s="162"/>
    </row>
    <row r="71" spans="1:7" ht="17.399999999999999" x14ac:dyDescent="0.3">
      <c r="A71" s="149" t="s">
        <v>61</v>
      </c>
      <c r="B71" s="19">
        <f>'SUPER PART'!G92</f>
        <v>0</v>
      </c>
      <c r="C71" s="139">
        <f>'SUPER PART'!H93</f>
        <v>0</v>
      </c>
      <c r="D71" s="186"/>
      <c r="E71" s="159"/>
      <c r="F71" s="158"/>
      <c r="G71" s="162"/>
    </row>
    <row r="72" spans="1:7" ht="17.399999999999999" x14ac:dyDescent="0.3">
      <c r="A72" s="149" t="s">
        <v>78</v>
      </c>
      <c r="B72" s="19">
        <f>'TATIANE VEGAS'!G92</f>
        <v>0</v>
      </c>
      <c r="C72" s="139">
        <f>'TATIANE VEGAS'!H93</f>
        <v>0</v>
      </c>
      <c r="D72" s="186"/>
      <c r="E72" s="159"/>
      <c r="F72" s="158"/>
      <c r="G72" s="162"/>
    </row>
    <row r="73" spans="1:7" ht="17.399999999999999" x14ac:dyDescent="0.3">
      <c r="A73" s="150" t="s">
        <v>81</v>
      </c>
      <c r="B73" s="19">
        <f>'V DOS SANTOS'!G92</f>
        <v>0</v>
      </c>
      <c r="C73" s="139">
        <f>'V DOS SANTOS'!H93</f>
        <v>0</v>
      </c>
      <c r="D73" s="186"/>
      <c r="E73" s="159"/>
      <c r="F73" s="158"/>
      <c r="G73" s="162"/>
    </row>
    <row r="74" spans="1:7" ht="17.399999999999999" x14ac:dyDescent="0.3">
      <c r="A74" s="149" t="s">
        <v>87</v>
      </c>
      <c r="B74" s="19">
        <f>'VALDIRENE DOS SANTOS'!G92</f>
        <v>0</v>
      </c>
      <c r="C74" s="139">
        <f>'VALDIRENE DOS SANTOS'!H93</f>
        <v>0</v>
      </c>
      <c r="D74" s="186"/>
      <c r="E74" s="159"/>
      <c r="F74" s="158"/>
      <c r="G74" s="162"/>
    </row>
    <row r="75" spans="1:7" ht="17.399999999999999" x14ac:dyDescent="0.3">
      <c r="A75" s="149" t="s">
        <v>43</v>
      </c>
      <c r="B75" s="19">
        <f>'VERENA VAREJISTA'!G92</f>
        <v>0</v>
      </c>
      <c r="C75" s="139">
        <f>'VERENA VAREJISTA'!H93</f>
        <v>0</v>
      </c>
      <c r="D75" s="186"/>
      <c r="E75" s="159"/>
      <c r="F75" s="158"/>
      <c r="G75" s="162"/>
    </row>
    <row r="76" spans="1:7" ht="17.399999999999999" x14ac:dyDescent="0.3">
      <c r="A76" s="147" t="s">
        <v>32</v>
      </c>
      <c r="B76" s="19">
        <f>'W SU'!G92</f>
        <v>0</v>
      </c>
      <c r="C76" s="139">
        <f>'W SU'!H93</f>
        <v>0</v>
      </c>
      <c r="D76" s="186"/>
      <c r="E76" s="159"/>
      <c r="F76" s="158"/>
      <c r="G76" s="162"/>
    </row>
    <row r="77" spans="1:7" ht="17.399999999999999" x14ac:dyDescent="0.3">
      <c r="A77" s="151" t="s">
        <v>60</v>
      </c>
      <c r="B77" s="19">
        <f>WRA!G92</f>
        <v>0</v>
      </c>
      <c r="C77" s="139">
        <f>WRA!H93</f>
        <v>0</v>
      </c>
      <c r="D77" s="186"/>
      <c r="E77" s="159"/>
      <c r="F77" s="158"/>
      <c r="G77" s="162"/>
    </row>
    <row r="78" spans="1:7" ht="17.399999999999999" x14ac:dyDescent="0.3">
      <c r="A78" s="145" t="s">
        <v>64</v>
      </c>
      <c r="B78" s="19">
        <f>W.CHUNMEI!G92</f>
        <v>0</v>
      </c>
      <c r="C78" s="139">
        <f>W.CHUNMEI!H93</f>
        <v>0</v>
      </c>
      <c r="D78" s="186"/>
      <c r="E78" s="159"/>
      <c r="F78" s="158"/>
      <c r="G78" s="162"/>
    </row>
    <row r="79" spans="1:7" ht="17.399999999999999" x14ac:dyDescent="0.3">
      <c r="A79" s="145" t="s">
        <v>69</v>
      </c>
      <c r="B79" s="19">
        <f>W.LIMA!G92</f>
        <v>0</v>
      </c>
      <c r="C79" s="139">
        <f>W.LIMA!H93</f>
        <v>0</v>
      </c>
      <c r="D79" s="186"/>
      <c r="E79" s="159"/>
      <c r="F79" s="158"/>
      <c r="G79" s="162"/>
    </row>
    <row r="80" spans="1:7" ht="17.399999999999999" x14ac:dyDescent="0.3">
      <c r="A80" s="152"/>
      <c r="B80" s="18"/>
      <c r="C80" s="140"/>
      <c r="D80" s="186"/>
      <c r="E80" s="159"/>
      <c r="F80" s="158"/>
      <c r="G80" s="162"/>
    </row>
    <row r="81" spans="1:7" ht="17.399999999999999" x14ac:dyDescent="0.3">
      <c r="A81" s="152"/>
      <c r="B81" s="18"/>
      <c r="C81" s="140"/>
      <c r="D81" s="186"/>
      <c r="E81" s="159"/>
      <c r="F81" s="158"/>
      <c r="G81" s="162"/>
    </row>
    <row r="82" spans="1:7" ht="17.399999999999999" x14ac:dyDescent="0.3">
      <c r="A82" s="152"/>
      <c r="B82" s="18"/>
      <c r="C82" s="140"/>
      <c r="D82" s="186"/>
      <c r="E82" s="159"/>
      <c r="F82" s="158"/>
      <c r="G82" s="162"/>
    </row>
    <row r="83" spans="1:7" ht="17.399999999999999" x14ac:dyDescent="0.3">
      <c r="A83" s="152"/>
      <c r="B83" s="18"/>
      <c r="C83" s="140"/>
      <c r="D83" s="186"/>
      <c r="E83" s="159"/>
      <c r="F83" s="158"/>
      <c r="G83" s="162"/>
    </row>
    <row r="84" spans="1:7" ht="17.399999999999999" x14ac:dyDescent="0.3">
      <c r="A84" s="152"/>
      <c r="B84" s="18"/>
      <c r="C84" s="140"/>
      <c r="D84" s="186"/>
      <c r="E84" s="159"/>
      <c r="F84" s="158"/>
      <c r="G84" s="162"/>
    </row>
    <row r="85" spans="1:7" ht="17.399999999999999" x14ac:dyDescent="0.3">
      <c r="A85" s="153"/>
      <c r="B85" s="15"/>
      <c r="C85" s="139"/>
      <c r="D85" s="186"/>
      <c r="E85" s="159"/>
      <c r="F85" s="158"/>
      <c r="G85" s="162"/>
    </row>
    <row r="86" spans="1:7" ht="21.6" thickBot="1" x14ac:dyDescent="0.45">
      <c r="A86" s="154" t="s">
        <v>11</v>
      </c>
      <c r="B86" s="155">
        <f>SUM(B5:B85)</f>
        <v>0</v>
      </c>
      <c r="C86" s="163">
        <f>SUM(C5:C85)</f>
        <v>0</v>
      </c>
      <c r="D86" s="187"/>
      <c r="E86" s="156" t="s">
        <v>11</v>
      </c>
      <c r="F86" s="155">
        <f>SUM(F5:F85)</f>
        <v>0</v>
      </c>
      <c r="G86" s="164">
        <f>SUM(G5:G85)</f>
        <v>0</v>
      </c>
    </row>
    <row r="89" spans="1:7" ht="15" thickBot="1" x14ac:dyDescent="0.35"/>
    <row r="90" spans="1:7" x14ac:dyDescent="0.3">
      <c r="C90" s="172" t="s">
        <v>11</v>
      </c>
      <c r="D90" s="174">
        <f>B86+F86</f>
        <v>0</v>
      </c>
      <c r="E90" s="175"/>
      <c r="F90" s="177">
        <f>C86+G86</f>
        <v>0</v>
      </c>
    </row>
    <row r="91" spans="1:7" ht="15" thickBot="1" x14ac:dyDescent="0.35">
      <c r="C91" s="173"/>
      <c r="D91" s="176"/>
      <c r="E91" s="176"/>
      <c r="F91" s="178"/>
    </row>
  </sheetData>
  <sortState ref="A3:C27">
    <sortCondition ref="A3:A27"/>
  </sortState>
  <mergeCells count="7">
    <mergeCell ref="C90:C91"/>
    <mergeCell ref="D90:E91"/>
    <mergeCell ref="F90:F91"/>
    <mergeCell ref="A1:G2"/>
    <mergeCell ref="D4:D86"/>
    <mergeCell ref="A3:C3"/>
    <mergeCell ref="E3:G3"/>
  </mergeCells>
  <hyperlinks>
    <hyperlink ref="A28" location="'FLAMBOYAN '!A1" display="FLAMBOYAN"/>
    <hyperlink ref="A44" location="'MAIS QUE MAKE AÇAILANDIA'!A1" display="MAIS QUE MAKE AÇAILANDIA"/>
    <hyperlink ref="A57" location="'MAIS QUE MAKE SANTAREM BIJU'!A1" display="MAIS QUE MAKE SANTAREM BIJU"/>
    <hyperlink ref="A59" location="'MAIS QUE MAKE VARZEA GRANDE'!A1" display="MAIS QUE MAKE VARZEA GRANDE"/>
    <hyperlink ref="A54" location="'MAIS QUE MAKE PARAUPEBAS'!A1" display="MAIS QUE MAKE PARAUPEBAS"/>
    <hyperlink ref="A55" location="'MAIS QUE MAKE PARAUPEBAS AT'!A1" display="MAIS QUE MAKE PARAUPEBAS AT"/>
    <hyperlink ref="A53" location="'MAIS QUE MAKE MARABÁ'!A1" display="MAIS QUE MAKE MARABÁ"/>
    <hyperlink ref="A51" location="'MAIS QUE MAKE IMPERATRIZ AT'!A1" display="MAIS QUE MAKE IMPERATRIZ AT "/>
    <hyperlink ref="A50" location="'MAIS QUE MAKE IMPERATRIZ '!A1" display="MAIS QUE MAKE IMPERATRIZ "/>
    <hyperlink ref="A45" location="'MAIS QUE MAKE ALTA FLORESTA'!A1" display="MAIS QUE MAKE ALTA FLORESTA"/>
    <hyperlink ref="A46" location="'MAIS QUE MAKE ALTAMIRA'!A1" display="MAIS QUE MAKE ALTAMIRA"/>
    <hyperlink ref="A47" location="'MAIS QUE MAKE ARAGUAINA'!A1" display="MAIS QUE MAKE ARAGUAINA"/>
    <hyperlink ref="A52" location="'MAIS QUE MAKE ITAITUBA'!A1" display="MAIS QUE MAKE ITAITUBA"/>
    <hyperlink ref="A48" location="'MAIS QUE MAKE BALSAS'!A1" display="MAIS QUE MAKE BALSAS"/>
    <hyperlink ref="A11" location="'CELL SOLLUTIONS'!A1" display="CELL SOLLUTION"/>
    <hyperlink ref="A60" location="'MARIA DO PERPETUO SOCOORO'!A1" display="MARIA DO PERPETUO SOCORRO (LOERENA)"/>
    <hyperlink ref="A17" location="'CRIS MODAS'!A1" display="CRIS MODAS TUPÃ"/>
    <hyperlink ref="A56" location="'MAIS QUE MAKE SANTAREM '!A1" display="MAIS QUE MAKE SANTAREM "/>
    <hyperlink ref="A76" location="'W SU'!A1" display="W SU"/>
    <hyperlink ref="A6" location="'2H VARIEDADES'!A1" display="2H VARIEDADES"/>
    <hyperlink ref="A21" location="'DELL REI'!A1" display="DELL REI"/>
    <hyperlink ref="A14" location="'COMERCIAL RONDONIA'!A1" display="COMERCIAL RONDONIA"/>
    <hyperlink ref="A70" location="'SUPERMERCADO RODRIGUES'!A1" display="SUPERMERCADO RODRIGUES (Angelica)"/>
    <hyperlink ref="A27" location="'FEST SHOW'!A1" display="FEST SHOW"/>
    <hyperlink ref="A7" location="ALJATEC!A1" display="ALJATEC ELETRICA"/>
    <hyperlink ref="A68" location="'SKR BEZERRA'!A1" display="SKR BEZERRA"/>
    <hyperlink ref="A35" location="'IVANETE JATAI'!A1" display="IVANETE JATAI"/>
    <hyperlink ref="A75" location="'VERENA VAREJISTA'!A1" display="VERENA VAREJISTA"/>
    <hyperlink ref="A22" location="'DISTR. GOMES LISBOA'!A1" display="DISTRIBUIDORA GOMES LISBOA"/>
    <hyperlink ref="A12" location="'COM. BRAS RAIMUNDO'!A1" display="COMERCIAL BRAS RAIMUNDO"/>
    <hyperlink ref="A16" location="'CRIS KING BIJU'!A1" display="CRIS KING BIJU"/>
    <hyperlink ref="A18" location="'DECAZZA COM'!A1" display="DECAZZA COM"/>
    <hyperlink ref="A23" location="'EMBALEME COMERCIO'!A1" display="EMBALEME COMERCIO"/>
    <hyperlink ref="A69" location="'SMART BUY'!A1" display="SMART BUY"/>
    <hyperlink ref="A30" location="'FLAP KIDS'!A1" display="FLAP KIDS"/>
    <hyperlink ref="A13" location="'COM. MARTINS E MARTINS'!A1" display="COMERCIAL MARTINS E MARTINS"/>
    <hyperlink ref="A63" location="'PINK GLAMOUR'!A1" display="PINK GLAMOUR"/>
    <hyperlink ref="A29" location="'FLÁVIA COMERCIO'!A1" display="FLAVIA COMERCIO"/>
    <hyperlink ref="A49" location="'MAIS QUE MAKE BURITICUPU'!A1" display="MAIS QUE MAKE BURITICUPU"/>
    <hyperlink ref="A58" location="'MAIS QUE MAKE SÃO LUIS'!A1" display="MAIS QUE MAKE SÃO LUIS"/>
    <hyperlink ref="A32" location="'GETULIO LIRA'!A1" display="GETULIO LIRA"/>
    <hyperlink ref="A41" location="'LACORDAIRE TELES'!A1" display="LACORDAIRE TELES"/>
    <hyperlink ref="A64" location="'RAPPY TOYS'!A1" display="RAPPY TOYS"/>
    <hyperlink ref="A9" location="'BELL FIFI'!A1" display="BELLA FIFI"/>
    <hyperlink ref="A36" location="JANDERRUBEM!A1" display="JANDERRUBEM "/>
    <hyperlink ref="A78" location="W.CHUNMEI!A1" display="W. CHUNMEI LTDA"/>
    <hyperlink ref="A31" location="'FRANK PAPELARIA'!A1" display="FRANK PAPELARIA"/>
    <hyperlink ref="A8" location="'AMEI COMERCIO'!A1" display="AMEI COMERCIO"/>
    <hyperlink ref="A10" location="'CASA MIMO'!A1" display="CASA MIMO"/>
    <hyperlink ref="A42" location="'LOJÃO CASA SILVA'!A1" display="LOJÃO CASA SILVA"/>
    <hyperlink ref="A66" location="'REALZÃO MONICA'!A1" display="REALZÃO IMP. MONICA"/>
    <hyperlink ref="A79" location="W.LIMA!A1" display="W. LIMA"/>
    <hyperlink ref="A61" location="'MRC8'!A1" display="MRC 8"/>
    <hyperlink ref="A19" location="'DF COMERCIO'!A1" display="DF COMERCIO"/>
    <hyperlink ref="A25" location="'EVELINY MARIA'!A1" display="EVELINY MARIA"/>
    <hyperlink ref="A38" location="'J L A HUNCA'!A1" display="J L A HUNCA ME"/>
    <hyperlink ref="A24" location="'ERICA SHIRLEY'!A1" display="ERICA SHIRLEY"/>
    <hyperlink ref="A34" location="IPED!A1" display="IPED INSTITUTO"/>
    <hyperlink ref="A72" location="'TATIANE VEGAS'!A1" display="TATIANE VEGAS"/>
    <hyperlink ref="A33" location="'GIULIANA CHRISTIELLE'!A1" display="GIULIANA CHRISTIELLE"/>
    <hyperlink ref="A62" location="'NAVIO SERVIÇOS'!A1" display="NAVIO SERVIÇOS"/>
    <hyperlink ref="A73" location="'V DOS SANTOS'!A1" display="V DOS SANTOS"/>
    <hyperlink ref="A43" location="'LOJAS MARIA'!A1" display="LOJAS MARIA"/>
    <hyperlink ref="A37" location="'JANE STER'!A1" display="JANE STER(EDAC)"/>
    <hyperlink ref="A65" location="'REALZÃO IMP'!A1" display="REALZÃO IMP."/>
    <hyperlink ref="A20" location="D.TSIANG!A1" display="D.TSIANG"/>
    <hyperlink ref="A39" location="KMRG!A1" display="KMRG"/>
    <hyperlink ref="A74" location="'VALDIRENE DOS SANTOS'!A1" display="VALDIRENE DOS SANTOS"/>
    <hyperlink ref="A67" location="SAMUAH!A1" display="SAMUAH"/>
    <hyperlink ref="A26" location="'ELINETE JARDIM'!A1" display="ELINETE JARDIM"/>
    <hyperlink ref="A5" location="'+ BAZAR'!A1" display=" + BAZAR"/>
    <hyperlink ref="E5" location="'JHAMBA LE COOK'!A1" display="JHAMBA LE COOK"/>
    <hyperlink ref="E6" location="'POESY AVIAMENTOS 0001-37'!A1" display="POESY AVIAMENTOS 0001-37"/>
    <hyperlink ref="E7" location="'POESY AVIAMENTOS 0001-83'!A1" display="POESY AVIAMENTOS 0001-83"/>
    <hyperlink ref="E8" location="'MKS COMERCIO'!A1" display="MKS COMERCIO"/>
    <hyperlink ref="A15" location="'C R DOS SANTOS'!A1" display="C R DOS SANTOS"/>
    <hyperlink ref="A40" location="'L. SOUZA'!A1" display="L. SOUZA MARTINS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13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134"/>
      <c r="C12" s="194"/>
      <c r="D12" s="196"/>
      <c r="E12" s="196"/>
      <c r="F12" s="5" t="s">
        <v>5</v>
      </c>
      <c r="G12" s="135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7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7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7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7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7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7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7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7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7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7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7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7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7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7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7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7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7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7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7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7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7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7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7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7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7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7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7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7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7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7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7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7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7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7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7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10:H10"/>
    <mergeCell ref="A4:H4"/>
    <mergeCell ref="J4:L5"/>
    <mergeCell ref="C5:C6"/>
    <mergeCell ref="D5:D6"/>
    <mergeCell ref="E5:E6"/>
    <mergeCell ref="H5:H6"/>
    <mergeCell ref="A16:H16"/>
    <mergeCell ref="C17:C18"/>
    <mergeCell ref="D17:D18"/>
    <mergeCell ref="H17:H18"/>
    <mergeCell ref="A19:H19"/>
    <mergeCell ref="C20:C21"/>
    <mergeCell ref="D20:D21"/>
    <mergeCell ref="H20:H21"/>
    <mergeCell ref="C11:C12"/>
    <mergeCell ref="D11:D12"/>
    <mergeCell ref="E11:E12"/>
    <mergeCell ref="H11:H12"/>
    <mergeCell ref="A13:H13"/>
    <mergeCell ref="C14:C15"/>
    <mergeCell ref="D14:D15"/>
    <mergeCell ref="H14:H15"/>
    <mergeCell ref="A28:H28"/>
    <mergeCell ref="C29:C30"/>
    <mergeCell ref="D29:D30"/>
    <mergeCell ref="H29:H30"/>
    <mergeCell ref="A31:H31"/>
    <mergeCell ref="C32:C33"/>
    <mergeCell ref="D32:D33"/>
    <mergeCell ref="H32:H33"/>
    <mergeCell ref="A22:H22"/>
    <mergeCell ref="C23:C24"/>
    <mergeCell ref="D23:D24"/>
    <mergeCell ref="H23:H24"/>
    <mergeCell ref="A25:H25"/>
    <mergeCell ref="C26:C27"/>
    <mergeCell ref="D26:D27"/>
    <mergeCell ref="H26:H27"/>
    <mergeCell ref="A40:H40"/>
    <mergeCell ref="C41:C42"/>
    <mergeCell ref="D41:D42"/>
    <mergeCell ref="H41:H42"/>
    <mergeCell ref="A43:H43"/>
    <mergeCell ref="C44:C45"/>
    <mergeCell ref="D44:D45"/>
    <mergeCell ref="H44:H45"/>
    <mergeCell ref="A34:H34"/>
    <mergeCell ref="C35:C36"/>
    <mergeCell ref="D35:D36"/>
    <mergeCell ref="H35:H36"/>
    <mergeCell ref="A37:H37"/>
    <mergeCell ref="C38:C39"/>
    <mergeCell ref="D38:D39"/>
    <mergeCell ref="H38:H39"/>
    <mergeCell ref="A52:H52"/>
    <mergeCell ref="C53:C54"/>
    <mergeCell ref="D53:D54"/>
    <mergeCell ref="H53:H54"/>
    <mergeCell ref="A55:H55"/>
    <mergeCell ref="C56:C57"/>
    <mergeCell ref="D56:D57"/>
    <mergeCell ref="H56:H57"/>
    <mergeCell ref="A46:H46"/>
    <mergeCell ref="C47:C48"/>
    <mergeCell ref="D47:D48"/>
    <mergeCell ref="H47:H48"/>
    <mergeCell ref="A49:H49"/>
    <mergeCell ref="C50:C51"/>
    <mergeCell ref="D50:D51"/>
    <mergeCell ref="H50:H51"/>
    <mergeCell ref="A64:H64"/>
    <mergeCell ref="C65:C66"/>
    <mergeCell ref="D65:D66"/>
    <mergeCell ref="H65:H66"/>
    <mergeCell ref="A67:H67"/>
    <mergeCell ref="C68:C69"/>
    <mergeCell ref="D68:D69"/>
    <mergeCell ref="H68:H69"/>
    <mergeCell ref="A58:H58"/>
    <mergeCell ref="C59:C60"/>
    <mergeCell ref="D59:D60"/>
    <mergeCell ref="H59:H60"/>
    <mergeCell ref="A61:H61"/>
    <mergeCell ref="C62:C63"/>
    <mergeCell ref="D62:D63"/>
    <mergeCell ref="H62:H63"/>
    <mergeCell ref="A76:H76"/>
    <mergeCell ref="C77:C78"/>
    <mergeCell ref="D77:D78"/>
    <mergeCell ref="H77:H78"/>
    <mergeCell ref="A79:H79"/>
    <mergeCell ref="C80:C81"/>
    <mergeCell ref="D80:D81"/>
    <mergeCell ref="H80:H81"/>
    <mergeCell ref="A70:H70"/>
    <mergeCell ref="C71:C72"/>
    <mergeCell ref="D71:D72"/>
    <mergeCell ref="H71:H72"/>
    <mergeCell ref="A73:H73"/>
    <mergeCell ref="C74:C75"/>
    <mergeCell ref="D74:D75"/>
    <mergeCell ref="H74:H75"/>
    <mergeCell ref="A88:H88"/>
    <mergeCell ref="C89:C90"/>
    <mergeCell ref="D89:D90"/>
    <mergeCell ref="H89:H90"/>
    <mergeCell ref="A91:H91"/>
    <mergeCell ref="A82:H82"/>
    <mergeCell ref="C83:C84"/>
    <mergeCell ref="D83:D84"/>
    <mergeCell ref="H83:H84"/>
    <mergeCell ref="A85:H85"/>
    <mergeCell ref="C86:C87"/>
    <mergeCell ref="D86:D87"/>
    <mergeCell ref="H86:H87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G3*6.88%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13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134"/>
      <c r="C12" s="194"/>
      <c r="D12" s="196"/>
      <c r="E12" s="196"/>
      <c r="F12" s="5" t="s">
        <v>5</v>
      </c>
      <c r="G12" s="135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6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6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6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6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6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6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6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6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6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6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6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6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6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6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6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6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6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6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6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6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6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6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6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6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6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6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6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6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6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6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6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6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6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6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6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10:H10"/>
    <mergeCell ref="A4:H4"/>
    <mergeCell ref="J4:L5"/>
    <mergeCell ref="C5:C6"/>
    <mergeCell ref="D5:D6"/>
    <mergeCell ref="E5:E6"/>
    <mergeCell ref="H5:H6"/>
    <mergeCell ref="A16:H16"/>
    <mergeCell ref="C17:C18"/>
    <mergeCell ref="D17:D18"/>
    <mergeCell ref="H17:H18"/>
    <mergeCell ref="A19:H19"/>
    <mergeCell ref="C20:C21"/>
    <mergeCell ref="D20:D21"/>
    <mergeCell ref="H20:H21"/>
    <mergeCell ref="C11:C12"/>
    <mergeCell ref="D11:D12"/>
    <mergeCell ref="E11:E12"/>
    <mergeCell ref="H11:H12"/>
    <mergeCell ref="A13:H13"/>
    <mergeCell ref="C14:C15"/>
    <mergeCell ref="D14:D15"/>
    <mergeCell ref="H14:H15"/>
    <mergeCell ref="A28:H28"/>
    <mergeCell ref="C29:C30"/>
    <mergeCell ref="D29:D30"/>
    <mergeCell ref="H29:H30"/>
    <mergeCell ref="A31:H31"/>
    <mergeCell ref="C32:C33"/>
    <mergeCell ref="D32:D33"/>
    <mergeCell ref="H32:H33"/>
    <mergeCell ref="A22:H22"/>
    <mergeCell ref="C23:C24"/>
    <mergeCell ref="D23:D24"/>
    <mergeCell ref="H23:H24"/>
    <mergeCell ref="A25:H25"/>
    <mergeCell ref="C26:C27"/>
    <mergeCell ref="D26:D27"/>
    <mergeCell ref="H26:H27"/>
    <mergeCell ref="A40:H40"/>
    <mergeCell ref="C41:C42"/>
    <mergeCell ref="D41:D42"/>
    <mergeCell ref="H41:H42"/>
    <mergeCell ref="A43:H43"/>
    <mergeCell ref="C44:C45"/>
    <mergeCell ref="D44:D45"/>
    <mergeCell ref="H44:H45"/>
    <mergeCell ref="A34:H34"/>
    <mergeCell ref="C35:C36"/>
    <mergeCell ref="D35:D36"/>
    <mergeCell ref="H35:H36"/>
    <mergeCell ref="A37:H37"/>
    <mergeCell ref="C38:C39"/>
    <mergeCell ref="D38:D39"/>
    <mergeCell ref="H38:H39"/>
    <mergeCell ref="A52:H52"/>
    <mergeCell ref="C53:C54"/>
    <mergeCell ref="D53:D54"/>
    <mergeCell ref="H53:H54"/>
    <mergeCell ref="A55:H55"/>
    <mergeCell ref="C56:C57"/>
    <mergeCell ref="D56:D57"/>
    <mergeCell ref="H56:H57"/>
    <mergeCell ref="A46:H46"/>
    <mergeCell ref="C47:C48"/>
    <mergeCell ref="D47:D48"/>
    <mergeCell ref="H47:H48"/>
    <mergeCell ref="A49:H49"/>
    <mergeCell ref="C50:C51"/>
    <mergeCell ref="D50:D51"/>
    <mergeCell ref="H50:H51"/>
    <mergeCell ref="A64:H64"/>
    <mergeCell ref="C65:C66"/>
    <mergeCell ref="D65:D66"/>
    <mergeCell ref="H65:H66"/>
    <mergeCell ref="A67:H67"/>
    <mergeCell ref="C68:C69"/>
    <mergeCell ref="D68:D69"/>
    <mergeCell ref="H68:H69"/>
    <mergeCell ref="A58:H58"/>
    <mergeCell ref="C59:C60"/>
    <mergeCell ref="D59:D60"/>
    <mergeCell ref="H59:H60"/>
    <mergeCell ref="A61:H61"/>
    <mergeCell ref="C62:C63"/>
    <mergeCell ref="D62:D63"/>
    <mergeCell ref="H62:H63"/>
    <mergeCell ref="A76:H76"/>
    <mergeCell ref="C77:C78"/>
    <mergeCell ref="D77:D78"/>
    <mergeCell ref="H77:H78"/>
    <mergeCell ref="A79:H79"/>
    <mergeCell ref="C80:C81"/>
    <mergeCell ref="D80:D81"/>
    <mergeCell ref="H80:H81"/>
    <mergeCell ref="A70:H70"/>
    <mergeCell ref="C71:C72"/>
    <mergeCell ref="D71:D72"/>
    <mergeCell ref="H71:H72"/>
    <mergeCell ref="A73:H73"/>
    <mergeCell ref="C74:C75"/>
    <mergeCell ref="D74:D75"/>
    <mergeCell ref="H74:H75"/>
    <mergeCell ref="A88:H88"/>
    <mergeCell ref="C89:C90"/>
    <mergeCell ref="D89:D90"/>
    <mergeCell ref="H89:H90"/>
    <mergeCell ref="A91:H91"/>
    <mergeCell ref="A82:H82"/>
    <mergeCell ref="C83:C84"/>
    <mergeCell ref="D83:D84"/>
    <mergeCell ref="H83:H84"/>
    <mergeCell ref="A85:H85"/>
    <mergeCell ref="C86:C87"/>
    <mergeCell ref="D86:D87"/>
    <mergeCell ref="H86:H87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3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3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3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3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3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3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3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3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3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3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3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3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3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3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3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3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3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3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3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3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3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3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3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3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3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3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3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3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3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3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3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3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3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3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3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3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3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3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3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3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3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3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3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3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3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3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3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3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3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3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3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3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10:H10"/>
    <mergeCell ref="A4:H4"/>
    <mergeCell ref="J4:L5"/>
    <mergeCell ref="C5:C6"/>
    <mergeCell ref="D5:D6"/>
    <mergeCell ref="E5:E6"/>
    <mergeCell ref="H5:H6"/>
    <mergeCell ref="A16:H16"/>
    <mergeCell ref="C17:C18"/>
    <mergeCell ref="D17:D18"/>
    <mergeCell ref="H17:H18"/>
    <mergeCell ref="A19:H19"/>
    <mergeCell ref="C20:C21"/>
    <mergeCell ref="D20:D21"/>
    <mergeCell ref="H20:H21"/>
    <mergeCell ref="C11:C12"/>
    <mergeCell ref="D11:D12"/>
    <mergeCell ref="E11:E12"/>
    <mergeCell ref="H11:H12"/>
    <mergeCell ref="A13:H13"/>
    <mergeCell ref="C14:C15"/>
    <mergeCell ref="D14:D15"/>
    <mergeCell ref="H14:H15"/>
    <mergeCell ref="A28:H28"/>
    <mergeCell ref="C29:C30"/>
    <mergeCell ref="D29:D30"/>
    <mergeCell ref="H29:H30"/>
    <mergeCell ref="A31:H31"/>
    <mergeCell ref="C32:C33"/>
    <mergeCell ref="D32:D33"/>
    <mergeCell ref="H32:H33"/>
    <mergeCell ref="A22:H22"/>
    <mergeCell ref="C23:C24"/>
    <mergeCell ref="D23:D24"/>
    <mergeCell ref="H23:H24"/>
    <mergeCell ref="A25:H25"/>
    <mergeCell ref="C26:C27"/>
    <mergeCell ref="D26:D27"/>
    <mergeCell ref="H26:H27"/>
    <mergeCell ref="A40:H40"/>
    <mergeCell ref="C41:C42"/>
    <mergeCell ref="D41:D42"/>
    <mergeCell ref="H41:H42"/>
    <mergeCell ref="A43:H43"/>
    <mergeCell ref="C44:C45"/>
    <mergeCell ref="D44:D45"/>
    <mergeCell ref="H44:H45"/>
    <mergeCell ref="A34:H34"/>
    <mergeCell ref="C35:C36"/>
    <mergeCell ref="D35:D36"/>
    <mergeCell ref="H35:H36"/>
    <mergeCell ref="A37:H37"/>
    <mergeCell ref="C38:C39"/>
    <mergeCell ref="D38:D39"/>
    <mergeCell ref="H38:H39"/>
    <mergeCell ref="A52:H52"/>
    <mergeCell ref="C53:C54"/>
    <mergeCell ref="D53:D54"/>
    <mergeCell ref="H53:H54"/>
    <mergeCell ref="A55:H55"/>
    <mergeCell ref="C56:C57"/>
    <mergeCell ref="D56:D57"/>
    <mergeCell ref="H56:H57"/>
    <mergeCell ref="A46:H46"/>
    <mergeCell ref="C47:C48"/>
    <mergeCell ref="D47:D48"/>
    <mergeCell ref="H47:H48"/>
    <mergeCell ref="A49:H49"/>
    <mergeCell ref="C50:C51"/>
    <mergeCell ref="D50:D51"/>
    <mergeCell ref="H50:H51"/>
    <mergeCell ref="A64:H64"/>
    <mergeCell ref="C65:C66"/>
    <mergeCell ref="D65:D66"/>
    <mergeCell ref="H65:H66"/>
    <mergeCell ref="A67:H67"/>
    <mergeCell ref="C68:C69"/>
    <mergeCell ref="D68:D69"/>
    <mergeCell ref="H68:H69"/>
    <mergeCell ref="A58:H58"/>
    <mergeCell ref="C59:C60"/>
    <mergeCell ref="D59:D60"/>
    <mergeCell ref="H59:H60"/>
    <mergeCell ref="A61:H61"/>
    <mergeCell ref="C62:C63"/>
    <mergeCell ref="D62:D63"/>
    <mergeCell ref="H62:H63"/>
    <mergeCell ref="A76:H76"/>
    <mergeCell ref="C77:C78"/>
    <mergeCell ref="D77:D78"/>
    <mergeCell ref="H77:H78"/>
    <mergeCell ref="A79:H79"/>
    <mergeCell ref="C80:C81"/>
    <mergeCell ref="D80:D81"/>
    <mergeCell ref="H80:H81"/>
    <mergeCell ref="A70:H70"/>
    <mergeCell ref="C71:C72"/>
    <mergeCell ref="D71:D72"/>
    <mergeCell ref="H71:H72"/>
    <mergeCell ref="A73:H73"/>
    <mergeCell ref="C74:C75"/>
    <mergeCell ref="D74:D75"/>
    <mergeCell ref="H74:H75"/>
    <mergeCell ref="A88:H88"/>
    <mergeCell ref="C89:C90"/>
    <mergeCell ref="D89:D90"/>
    <mergeCell ref="H89:H90"/>
    <mergeCell ref="A91:H91"/>
    <mergeCell ref="A82:H82"/>
    <mergeCell ref="C83:C84"/>
    <mergeCell ref="D83:D84"/>
    <mergeCell ref="H83:H84"/>
    <mergeCell ref="A85:H85"/>
    <mergeCell ref="C86:C87"/>
    <mergeCell ref="D86:D87"/>
    <mergeCell ref="H86:H87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67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68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67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68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67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68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67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68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67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68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67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68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67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68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67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68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67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68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7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68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7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68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7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68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7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68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7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68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7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68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7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68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7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68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7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68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7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68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7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68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7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68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7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68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7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68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7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68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7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68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7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68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88:H88"/>
    <mergeCell ref="C89:C90"/>
    <mergeCell ref="D89:D90"/>
    <mergeCell ref="H89:H90"/>
    <mergeCell ref="A91:H91"/>
    <mergeCell ref="A82:H82"/>
    <mergeCell ref="C83:C84"/>
    <mergeCell ref="D83:D84"/>
    <mergeCell ref="H83:H84"/>
    <mergeCell ref="A85:H85"/>
    <mergeCell ref="C86:C87"/>
    <mergeCell ref="D86:D87"/>
    <mergeCell ref="H86:H87"/>
    <mergeCell ref="A76:H76"/>
    <mergeCell ref="C77:C78"/>
    <mergeCell ref="D77:D78"/>
    <mergeCell ref="H77:H78"/>
    <mergeCell ref="A79:H79"/>
    <mergeCell ref="C80:C81"/>
    <mergeCell ref="D80:D81"/>
    <mergeCell ref="H80:H81"/>
    <mergeCell ref="A70:H70"/>
    <mergeCell ref="C71:C72"/>
    <mergeCell ref="D71:D72"/>
    <mergeCell ref="H71:H72"/>
    <mergeCell ref="A73:H73"/>
    <mergeCell ref="C74:C75"/>
    <mergeCell ref="D74:D75"/>
    <mergeCell ref="H74:H75"/>
    <mergeCell ref="A64:H64"/>
    <mergeCell ref="C65:C66"/>
    <mergeCell ref="D65:D66"/>
    <mergeCell ref="H65:H66"/>
    <mergeCell ref="A67:H67"/>
    <mergeCell ref="C68:C69"/>
    <mergeCell ref="D68:D69"/>
    <mergeCell ref="H68:H69"/>
    <mergeCell ref="A58:H58"/>
    <mergeCell ref="C59:C60"/>
    <mergeCell ref="D59:D60"/>
    <mergeCell ref="H59:H60"/>
    <mergeCell ref="A61:H61"/>
    <mergeCell ref="C62:C63"/>
    <mergeCell ref="D62:D63"/>
    <mergeCell ref="H62:H63"/>
    <mergeCell ref="A52:H52"/>
    <mergeCell ref="C53:C54"/>
    <mergeCell ref="D53:D54"/>
    <mergeCell ref="H53:H54"/>
    <mergeCell ref="A55:H55"/>
    <mergeCell ref="C56:C57"/>
    <mergeCell ref="D56:D57"/>
    <mergeCell ref="H56:H57"/>
    <mergeCell ref="A46:H46"/>
    <mergeCell ref="C47:C48"/>
    <mergeCell ref="D47:D48"/>
    <mergeCell ref="H47:H48"/>
    <mergeCell ref="A49:H49"/>
    <mergeCell ref="C50:C51"/>
    <mergeCell ref="D50:D51"/>
    <mergeCell ref="H50:H51"/>
    <mergeCell ref="A40:H40"/>
    <mergeCell ref="C41:C42"/>
    <mergeCell ref="D41:D42"/>
    <mergeCell ref="H41:H42"/>
    <mergeCell ref="A43:H43"/>
    <mergeCell ref="C44:C45"/>
    <mergeCell ref="D44:D45"/>
    <mergeCell ref="H44:H45"/>
    <mergeCell ref="A34:H34"/>
    <mergeCell ref="C35:C36"/>
    <mergeCell ref="D35:D36"/>
    <mergeCell ref="H35:H36"/>
    <mergeCell ref="A37:H37"/>
    <mergeCell ref="C38:C39"/>
    <mergeCell ref="D38:D39"/>
    <mergeCell ref="H38:H39"/>
    <mergeCell ref="A28:H28"/>
    <mergeCell ref="C29:C30"/>
    <mergeCell ref="D29:D30"/>
    <mergeCell ref="H29:H30"/>
    <mergeCell ref="A31:H31"/>
    <mergeCell ref="C32:C33"/>
    <mergeCell ref="D32:D33"/>
    <mergeCell ref="H32:H33"/>
    <mergeCell ref="A22:H22"/>
    <mergeCell ref="C23:C24"/>
    <mergeCell ref="D23:D24"/>
    <mergeCell ref="H23:H24"/>
    <mergeCell ref="A25:H25"/>
    <mergeCell ref="C26:C27"/>
    <mergeCell ref="D26:D27"/>
    <mergeCell ref="H26:H27"/>
    <mergeCell ref="A19:H19"/>
    <mergeCell ref="C20:C21"/>
    <mergeCell ref="D20:D21"/>
    <mergeCell ref="H20:H21"/>
    <mergeCell ref="C11:C12"/>
    <mergeCell ref="D11:D12"/>
    <mergeCell ref="E11:E12"/>
    <mergeCell ref="H11:H12"/>
    <mergeCell ref="A13:H13"/>
    <mergeCell ref="C14:C15"/>
    <mergeCell ref="D14:D15"/>
    <mergeCell ref="H14:H15"/>
    <mergeCell ref="A10:H10"/>
    <mergeCell ref="A4:H4"/>
    <mergeCell ref="J4:L5"/>
    <mergeCell ref="C5:C6"/>
    <mergeCell ref="D5:D6"/>
    <mergeCell ref="E5:E6"/>
    <mergeCell ref="H5:H6"/>
    <mergeCell ref="A16:H16"/>
    <mergeCell ref="C17:C18"/>
    <mergeCell ref="D17:D18"/>
    <mergeCell ref="H17:H18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G3*1.6%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66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3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3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3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3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3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3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3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3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3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3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3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3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3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3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3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3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3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3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3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3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3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3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3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3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3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3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3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3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3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3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3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3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3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3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3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3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3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3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3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3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3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3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3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3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3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3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3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3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3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3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3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3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10:H10"/>
    <mergeCell ref="A4:H4"/>
    <mergeCell ref="J4:L5"/>
    <mergeCell ref="C5:C6"/>
    <mergeCell ref="D5:D6"/>
    <mergeCell ref="E5:E6"/>
    <mergeCell ref="H5:H6"/>
    <mergeCell ref="A16:H16"/>
    <mergeCell ref="C17:C18"/>
    <mergeCell ref="D17:D18"/>
    <mergeCell ref="H17:H18"/>
    <mergeCell ref="A19:H19"/>
    <mergeCell ref="C20:C21"/>
    <mergeCell ref="D20:D21"/>
    <mergeCell ref="H20:H21"/>
    <mergeCell ref="C11:C12"/>
    <mergeCell ref="D11:D12"/>
    <mergeCell ref="E11:E12"/>
    <mergeCell ref="H11:H12"/>
    <mergeCell ref="A13:H13"/>
    <mergeCell ref="C14:C15"/>
    <mergeCell ref="D14:D15"/>
    <mergeCell ref="H14:H15"/>
    <mergeCell ref="A28:H28"/>
    <mergeCell ref="C29:C30"/>
    <mergeCell ref="D29:D30"/>
    <mergeCell ref="H29:H30"/>
    <mergeCell ref="A31:H31"/>
    <mergeCell ref="C32:C33"/>
    <mergeCell ref="D32:D33"/>
    <mergeCell ref="H32:H33"/>
    <mergeCell ref="A22:H22"/>
    <mergeCell ref="C23:C24"/>
    <mergeCell ref="D23:D24"/>
    <mergeCell ref="H23:H24"/>
    <mergeCell ref="A25:H25"/>
    <mergeCell ref="C26:C27"/>
    <mergeCell ref="D26:D27"/>
    <mergeCell ref="H26:H27"/>
    <mergeCell ref="A40:H40"/>
    <mergeCell ref="C41:C42"/>
    <mergeCell ref="D41:D42"/>
    <mergeCell ref="H41:H42"/>
    <mergeCell ref="A43:H43"/>
    <mergeCell ref="C44:C45"/>
    <mergeCell ref="D44:D45"/>
    <mergeCell ref="H44:H45"/>
    <mergeCell ref="A34:H34"/>
    <mergeCell ref="C35:C36"/>
    <mergeCell ref="D35:D36"/>
    <mergeCell ref="H35:H36"/>
    <mergeCell ref="A37:H37"/>
    <mergeCell ref="C38:C39"/>
    <mergeCell ref="D38:D39"/>
    <mergeCell ref="H38:H39"/>
    <mergeCell ref="A52:H52"/>
    <mergeCell ref="C53:C54"/>
    <mergeCell ref="D53:D54"/>
    <mergeCell ref="H53:H54"/>
    <mergeCell ref="A55:H55"/>
    <mergeCell ref="C56:C57"/>
    <mergeCell ref="D56:D57"/>
    <mergeCell ref="H56:H57"/>
    <mergeCell ref="A46:H46"/>
    <mergeCell ref="C47:C48"/>
    <mergeCell ref="D47:D48"/>
    <mergeCell ref="H47:H48"/>
    <mergeCell ref="A49:H49"/>
    <mergeCell ref="C50:C51"/>
    <mergeCell ref="D50:D51"/>
    <mergeCell ref="H50:H51"/>
    <mergeCell ref="A64:H64"/>
    <mergeCell ref="C65:C66"/>
    <mergeCell ref="D65:D66"/>
    <mergeCell ref="H65:H66"/>
    <mergeCell ref="A67:H67"/>
    <mergeCell ref="C68:C69"/>
    <mergeCell ref="D68:D69"/>
    <mergeCell ref="H68:H69"/>
    <mergeCell ref="A58:H58"/>
    <mergeCell ref="C59:C60"/>
    <mergeCell ref="D59:D60"/>
    <mergeCell ref="H59:H60"/>
    <mergeCell ref="A61:H61"/>
    <mergeCell ref="C62:C63"/>
    <mergeCell ref="D62:D63"/>
    <mergeCell ref="H62:H63"/>
    <mergeCell ref="A76:H76"/>
    <mergeCell ref="C77:C78"/>
    <mergeCell ref="D77:D78"/>
    <mergeCell ref="H77:H78"/>
    <mergeCell ref="A79:H79"/>
    <mergeCell ref="C80:C81"/>
    <mergeCell ref="D80:D81"/>
    <mergeCell ref="H80:H81"/>
    <mergeCell ref="A70:H70"/>
    <mergeCell ref="C71:C72"/>
    <mergeCell ref="D71:D72"/>
    <mergeCell ref="H71:H72"/>
    <mergeCell ref="A73:H73"/>
    <mergeCell ref="C74:C75"/>
    <mergeCell ref="D74:D75"/>
    <mergeCell ref="H74:H75"/>
    <mergeCell ref="A88:H88"/>
    <mergeCell ref="C89:C90"/>
    <mergeCell ref="D89:D90"/>
    <mergeCell ref="H89:H90"/>
    <mergeCell ref="A91:H91"/>
    <mergeCell ref="A82:H82"/>
    <mergeCell ref="C83:C84"/>
    <mergeCell ref="D83:D84"/>
    <mergeCell ref="H83:H84"/>
    <mergeCell ref="A85:H85"/>
    <mergeCell ref="C86:C87"/>
    <mergeCell ref="D86:D87"/>
    <mergeCell ref="H86:H87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2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2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2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2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2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2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2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2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2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2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2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2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2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2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2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2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2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2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2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2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25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2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25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2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25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26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25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26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25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26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25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26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25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26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25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26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25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26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25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26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25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26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25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26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25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26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25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26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25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26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25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26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1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23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24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23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24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23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24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23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24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23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24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23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24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23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24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23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24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23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24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23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24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23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24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23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24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23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24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23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24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23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24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23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24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23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24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23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24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23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24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23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24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23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24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23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24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23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24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23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24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23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24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23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24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21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22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21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22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21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22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21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22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21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22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21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22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21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22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21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22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21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22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21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22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21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22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21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22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21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22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21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22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21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22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21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22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21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22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21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22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21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22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21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22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21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22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21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22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21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22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21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22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21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22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21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22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21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22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21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22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21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22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21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22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21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22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21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22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21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22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21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22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21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22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21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22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21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22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21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22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21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22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21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22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21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22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21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22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21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22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21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22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21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22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21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22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21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22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21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22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21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22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21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22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21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22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21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22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59" activePane="bottomLeft" state="frozen"/>
      <selection pane="bottomLeft" activeCell="L93" sqref="L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1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1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1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1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1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1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1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1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1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1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1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1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1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1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1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1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1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1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1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1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15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1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15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1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15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16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15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16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15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16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15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16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15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16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15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16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15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16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15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16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15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16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15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16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15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16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15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16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15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16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15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16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83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19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20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19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20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19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20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19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20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19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20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19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20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19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20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19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20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19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20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19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20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19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20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19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20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19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20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19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20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19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20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19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20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19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20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19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20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19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20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19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20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19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20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19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20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19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20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19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20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19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20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19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20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17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18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17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18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17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18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17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18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17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18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17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18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17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18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17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18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17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18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17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18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17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18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17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18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17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18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17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18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17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18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17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18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17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18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17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18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17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18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17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18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17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18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17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18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17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18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17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18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17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18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17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18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F36" sqref="F36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89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13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14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13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14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13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14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13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14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13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14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13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14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13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14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13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14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13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14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13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14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13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14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13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14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13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14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13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14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13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14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13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14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13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14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13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14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13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14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13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14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13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14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13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14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13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14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13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14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13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14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13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14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09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10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09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10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09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10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09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10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09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10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09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10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09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10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09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10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09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10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09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10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09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10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09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10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09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10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09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10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09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10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09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10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09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10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09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10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09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10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09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10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09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10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09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10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09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10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09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10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09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10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09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10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0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0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0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0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0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0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0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0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0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0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0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0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0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0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0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0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0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0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0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0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0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0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0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0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0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0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0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0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0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0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0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0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0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0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0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0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0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0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0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0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0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0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0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0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0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0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0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0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0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0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0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0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G6*4%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0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0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0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0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0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0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0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0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0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0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0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0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0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0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0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0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0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0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0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0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0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0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0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0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0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0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0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0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0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0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0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0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0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0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0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0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0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0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0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0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0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0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0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0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0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0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0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0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0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0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0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0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59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G6*4%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0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0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0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0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0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0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0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0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0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0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0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0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0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0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0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0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0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0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0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0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0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0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0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0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0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0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0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0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0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0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0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0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0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0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0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0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0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0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0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0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0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0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0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0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0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0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0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0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0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0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0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0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G3*2.5%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G6*2.5%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G9*2.5%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G12*2.5%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98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99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9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9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9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9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9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9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9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9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9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9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9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9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9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9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9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9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9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9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9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9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9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9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9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9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9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9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9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9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9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9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9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9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9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9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9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9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9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9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9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9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9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9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9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9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9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9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9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9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8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76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9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9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9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9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9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9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9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9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9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9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9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9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9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9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9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9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9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9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9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9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9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9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9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9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9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9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9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9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9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9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9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9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9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9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9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9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9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9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9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9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9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9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9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9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9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9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9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9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9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9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9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9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59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9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9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9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9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9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9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9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9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9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9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9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9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9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9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9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9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9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9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9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9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9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9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9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9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9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9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9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9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9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9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9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9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9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9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9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9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9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9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9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9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9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9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9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9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9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9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9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9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9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9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9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9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2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3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4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G9*2%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G12*2%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9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9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9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9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9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9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9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9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9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9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9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9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9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9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9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9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9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9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9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9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9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9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9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9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9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9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9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9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9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9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9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9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9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9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9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9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9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9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9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9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9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9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9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9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9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9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9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9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9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9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9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9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9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9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9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9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9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9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9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9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9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9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9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9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9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9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9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9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9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9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9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9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9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9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9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9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9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9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9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9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9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9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9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9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9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9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9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9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9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9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9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9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9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9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9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9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9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9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9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9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9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9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9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9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88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89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88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89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8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8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8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8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8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8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8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8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8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8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8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8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8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8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8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8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8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8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8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8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8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8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8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8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8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8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8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8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8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8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8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8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8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8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8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8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8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8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8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8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8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8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8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8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8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8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8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8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7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8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8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8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8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8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8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8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8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8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8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8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8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8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8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8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8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8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8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8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8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8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8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8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8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8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8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8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8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8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8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8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8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8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8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8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8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8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8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8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8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8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8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8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8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8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8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8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8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8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8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8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8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G3*3%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8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8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8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8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8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8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8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8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8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8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8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8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8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8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8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8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8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8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8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8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8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8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8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8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8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8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8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8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8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8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8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8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8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8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8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8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8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8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8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8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8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8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8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8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8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8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8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8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8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8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8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8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G3*2.5%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8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8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8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8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8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8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8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8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8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8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8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8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8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8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8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8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8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8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8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8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8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8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8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8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8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8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8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8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8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8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8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8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8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8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8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8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8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8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8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8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8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8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8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8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1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E20:E21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8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8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8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8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8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8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8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8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8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8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8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8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8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8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8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8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8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8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8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8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8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8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8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8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8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8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8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8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8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8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8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8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8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8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8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8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8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8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8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8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8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8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8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8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8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8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8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8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8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8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8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8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80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78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79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8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9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78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79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8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9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80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7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7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selection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G3*2%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G12*2%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8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7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7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7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7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7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7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7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7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7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7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7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7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7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7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7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7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7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7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7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7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7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7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7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7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7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7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7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7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7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7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7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7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7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7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7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7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7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7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7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210"/>
      <c r="D2" s="195"/>
      <c r="E2" s="195"/>
      <c r="F2" s="5" t="s">
        <v>4</v>
      </c>
      <c r="G2" s="5"/>
      <c r="H2" s="197">
        <f>G3*2%</f>
        <v>0</v>
      </c>
    </row>
    <row r="3" spans="1:12" ht="18" thickBot="1" x14ac:dyDescent="0.35">
      <c r="A3" s="3" t="s">
        <v>5</v>
      </c>
      <c r="B3" s="134"/>
      <c r="C3" s="211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G6*2%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G9*4.5%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6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6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6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6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6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6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6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6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6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6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6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6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6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6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6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6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6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6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6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6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6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6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6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6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6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6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6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6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6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6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6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6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6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6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6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6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6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6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6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6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6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6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6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6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6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6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0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6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6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6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6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6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6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6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6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6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6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6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6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6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6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6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6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6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6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6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6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6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6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6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6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6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6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6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6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6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6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6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6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6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6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6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6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6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6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6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6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6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6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6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6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6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6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6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6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6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6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6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6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6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6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6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6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6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6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6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6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6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6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6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6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6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6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6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6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6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6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6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6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6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6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6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6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6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6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6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6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6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6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6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6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6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6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6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6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6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6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6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6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6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6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6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6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6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6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6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6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6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6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6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6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G3*3.5%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6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6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6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6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6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6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6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6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6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6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6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6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6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6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6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6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6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6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6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6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6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6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6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6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6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6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6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6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6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6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6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6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6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6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6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6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6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6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6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6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6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6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6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6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6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6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6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6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6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6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8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G6*6%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G12*3%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G15*3%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95"/>
      <c r="F44" s="5" t="s">
        <v>4</v>
      </c>
      <c r="G44" s="5"/>
      <c r="H44" s="197">
        <f>G45*6%</f>
        <v>0</v>
      </c>
    </row>
    <row r="45" spans="1:8" ht="15.6" x14ac:dyDescent="0.3">
      <c r="A45" s="3" t="s">
        <v>5</v>
      </c>
      <c r="B45" s="6"/>
      <c r="C45" s="194"/>
      <c r="D45" s="196"/>
      <c r="E45" s="19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6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6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6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6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6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6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6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6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6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6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6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6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6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6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6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6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6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6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6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6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6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6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6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6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6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6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6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6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6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6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8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A46:H46"/>
    <mergeCell ref="C47:C48"/>
    <mergeCell ref="D47:D48"/>
    <mergeCell ref="H47:H48"/>
    <mergeCell ref="E44:E45"/>
    <mergeCell ref="A40:H40"/>
    <mergeCell ref="C41:C42"/>
    <mergeCell ref="D41:D42"/>
    <mergeCell ref="H41:H42"/>
    <mergeCell ref="A43:H43"/>
    <mergeCell ref="E41:E42"/>
    <mergeCell ref="A37:H37"/>
    <mergeCell ref="C38:C39"/>
    <mergeCell ref="D38:D39"/>
    <mergeCell ref="H38:H39"/>
    <mergeCell ref="E35:E36"/>
    <mergeCell ref="E38:E39"/>
    <mergeCell ref="C44:C45"/>
    <mergeCell ref="D44:D45"/>
    <mergeCell ref="H44:H45"/>
    <mergeCell ref="C35:C36"/>
    <mergeCell ref="D35:D36"/>
    <mergeCell ref="H35:H36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2:H22"/>
    <mergeCell ref="C23:C24"/>
    <mergeCell ref="D23:D24"/>
    <mergeCell ref="H23:H24"/>
    <mergeCell ref="E17:E18"/>
    <mergeCell ref="E20:E21"/>
    <mergeCell ref="E23:E24"/>
    <mergeCell ref="A31:H31"/>
    <mergeCell ref="C32:C33"/>
    <mergeCell ref="D32:D33"/>
    <mergeCell ref="H32:H33"/>
    <mergeCell ref="A25:H25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0:H10"/>
    <mergeCell ref="C11:C12"/>
    <mergeCell ref="D11:D12"/>
    <mergeCell ref="E11:E12"/>
    <mergeCell ref="H11:H12"/>
    <mergeCell ref="A16:H16"/>
    <mergeCell ref="C17:C18"/>
    <mergeCell ref="D17:D18"/>
    <mergeCell ref="H17:H18"/>
    <mergeCell ref="A19:H19"/>
    <mergeCell ref="C20:C21"/>
    <mergeCell ref="D20:D21"/>
    <mergeCell ref="H20:H21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G6*6%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G9*3.5%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6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6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6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6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6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6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6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6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6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6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6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6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6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6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6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6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6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6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6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6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6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6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6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6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6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6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6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6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6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6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6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6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6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6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6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6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6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6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6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6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6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6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6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6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1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E20:E21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2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G6*6%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58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59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58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59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5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5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5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5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5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5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5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5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5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5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5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5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5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5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5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5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5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5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5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5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5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5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5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5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5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5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5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5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5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5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5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5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5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5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5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5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5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5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5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5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5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5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5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5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5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5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5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5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G3*8%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G6*4%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G15*2.5%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G18*4.5%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95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9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95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9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5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5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5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5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5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5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5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5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5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5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5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5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5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5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5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5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5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5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5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5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5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5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5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5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5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5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5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5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9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E44:E45"/>
    <mergeCell ref="E47:E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G9*6%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5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5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5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5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5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5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5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5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5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5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5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5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5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5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5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5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5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5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5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5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5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5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5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5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5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5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5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5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5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5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5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5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5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5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5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5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5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5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5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5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5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5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5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5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5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5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5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5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5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5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5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5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5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5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5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5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5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5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5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5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5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5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5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5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5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5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5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5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5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5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5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5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5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5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5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5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5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5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5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5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5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5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5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5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5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5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5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5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5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5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5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5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5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5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5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5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5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5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5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5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5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5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5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5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G3*10%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G6*4%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133"/>
      <c r="C11" s="193"/>
      <c r="D11" s="195"/>
      <c r="E11" s="195"/>
      <c r="F11" s="5" t="s">
        <v>4</v>
      </c>
      <c r="G11" s="5"/>
      <c r="H11" s="197">
        <f>G12*2%</f>
        <v>0</v>
      </c>
    </row>
    <row r="12" spans="1:12" ht="15.6" x14ac:dyDescent="0.3">
      <c r="A12" s="3" t="s">
        <v>5</v>
      </c>
      <c r="B12" s="134"/>
      <c r="C12" s="194"/>
      <c r="D12" s="196"/>
      <c r="E12" s="196"/>
      <c r="F12" s="5" t="s">
        <v>5</v>
      </c>
      <c r="G12" s="135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50"/>
      <c r="F14" s="5" t="s">
        <v>4</v>
      </c>
      <c r="G14" s="5"/>
      <c r="H14" s="197">
        <f>G15*6%</f>
        <v>0</v>
      </c>
    </row>
    <row r="15" spans="1:12" ht="15.6" x14ac:dyDescent="0.3">
      <c r="A15" s="3" t="s">
        <v>5</v>
      </c>
      <c r="B15" s="6"/>
      <c r="C15" s="194"/>
      <c r="D15" s="196"/>
      <c r="E15" s="5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G36*2.5%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G39*4.3%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95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9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95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9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95"/>
      <c r="F50" s="5" t="s">
        <v>4</v>
      </c>
      <c r="G50" s="5"/>
      <c r="H50" s="197">
        <f>G51*8%</f>
        <v>0</v>
      </c>
    </row>
    <row r="51" spans="1:8" ht="15.6" x14ac:dyDescent="0.3">
      <c r="A51" s="3" t="s">
        <v>5</v>
      </c>
      <c r="B51" s="6"/>
      <c r="C51" s="194"/>
      <c r="D51" s="196"/>
      <c r="E51" s="196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5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5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95"/>
      <c r="F56" s="5" t="s">
        <v>4</v>
      </c>
      <c r="G56" s="5"/>
      <c r="H56" s="197">
        <f>G57*2%</f>
        <v>0</v>
      </c>
    </row>
    <row r="57" spans="1:8" ht="15.6" x14ac:dyDescent="0.3">
      <c r="A57" s="3" t="s">
        <v>5</v>
      </c>
      <c r="B57" s="6"/>
      <c r="C57" s="194"/>
      <c r="D57" s="196"/>
      <c r="E57" s="196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95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96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95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96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95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96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95"/>
      <c r="F68" s="5" t="s">
        <v>4</v>
      </c>
      <c r="G68" s="5"/>
      <c r="H68" s="197">
        <f>G69*2%</f>
        <v>0</v>
      </c>
    </row>
    <row r="69" spans="1:8" ht="15.6" x14ac:dyDescent="0.3">
      <c r="A69" s="3" t="s">
        <v>5</v>
      </c>
      <c r="B69" s="6"/>
      <c r="C69" s="194"/>
      <c r="D69" s="196"/>
      <c r="E69" s="196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95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96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95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96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95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96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5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5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5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5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5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5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5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5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4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E77:E78"/>
    <mergeCell ref="C71:C72"/>
    <mergeCell ref="D71:D72"/>
    <mergeCell ref="H71:H72"/>
    <mergeCell ref="A73:H73"/>
    <mergeCell ref="C74:C75"/>
    <mergeCell ref="D74:D75"/>
    <mergeCell ref="H74:H75"/>
    <mergeCell ref="E71:E72"/>
    <mergeCell ref="E74:E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E62:E63"/>
    <mergeCell ref="E65:E66"/>
    <mergeCell ref="E68:E69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E56:E57"/>
    <mergeCell ref="E59:E60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E44:E45"/>
    <mergeCell ref="E47:E48"/>
    <mergeCell ref="E50:E51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0:E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23:E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133"/>
      <c r="C11" s="193"/>
      <c r="D11" s="195"/>
      <c r="E11" s="195"/>
      <c r="F11" s="5" t="s">
        <v>4</v>
      </c>
      <c r="G11" s="5"/>
      <c r="H11" s="197">
        <f>G12*3.5%</f>
        <v>0</v>
      </c>
    </row>
    <row r="12" spans="1:12" ht="15.6" x14ac:dyDescent="0.3">
      <c r="A12" s="3" t="s">
        <v>5</v>
      </c>
      <c r="B12" s="134"/>
      <c r="C12" s="194"/>
      <c r="D12" s="196"/>
      <c r="E12" s="196"/>
      <c r="F12" s="5" t="s">
        <v>5</v>
      </c>
      <c r="G12" s="135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133"/>
      <c r="C14" s="193"/>
      <c r="D14" s="195"/>
      <c r="E14" s="195"/>
      <c r="F14" s="5" t="s">
        <v>4</v>
      </c>
      <c r="G14" s="5"/>
      <c r="H14" s="197">
        <f>G15*3.5%</f>
        <v>0</v>
      </c>
    </row>
    <row r="15" spans="1:12" ht="15.6" x14ac:dyDescent="0.3">
      <c r="A15" s="3" t="s">
        <v>5</v>
      </c>
      <c r="B15" s="134"/>
      <c r="C15" s="194"/>
      <c r="D15" s="196"/>
      <c r="E15" s="196"/>
      <c r="F15" s="5" t="s">
        <v>5</v>
      </c>
      <c r="G15" s="135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133"/>
      <c r="C17" s="193"/>
      <c r="D17" s="195"/>
      <c r="E17" s="195"/>
      <c r="F17" s="5" t="s">
        <v>4</v>
      </c>
      <c r="G17" s="5"/>
      <c r="H17" s="197">
        <f>G18*3.5%</f>
        <v>0</v>
      </c>
    </row>
    <row r="18" spans="1:8" ht="15.6" x14ac:dyDescent="0.3">
      <c r="A18" s="3" t="s">
        <v>5</v>
      </c>
      <c r="B18" s="134"/>
      <c r="C18" s="194"/>
      <c r="D18" s="196"/>
      <c r="E18" s="196"/>
      <c r="F18" s="5" t="s">
        <v>5</v>
      </c>
      <c r="G18" s="135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13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134"/>
      <c r="C21" s="194"/>
      <c r="D21" s="196"/>
      <c r="E21" s="196"/>
      <c r="F21" s="5" t="s">
        <v>5</v>
      </c>
      <c r="G21" s="135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13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134"/>
      <c r="C24" s="194"/>
      <c r="D24" s="196"/>
      <c r="E24" s="196"/>
      <c r="F24" s="5" t="s">
        <v>5</v>
      </c>
      <c r="G24" s="135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13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134"/>
      <c r="C27" s="194"/>
      <c r="D27" s="196"/>
      <c r="E27" s="196"/>
      <c r="F27" s="5" t="s">
        <v>5</v>
      </c>
      <c r="G27" s="135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G30*4%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G39*2.5%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4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4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95"/>
      <c r="F47" s="5" t="s">
        <v>4</v>
      </c>
      <c r="G47" s="5"/>
      <c r="H47" s="197">
        <f>G48*3.8%</f>
        <v>0</v>
      </c>
    </row>
    <row r="48" spans="1:8" ht="15.6" x14ac:dyDescent="0.3">
      <c r="A48" s="3" t="s">
        <v>5</v>
      </c>
      <c r="B48" s="6"/>
      <c r="C48" s="194"/>
      <c r="D48" s="196"/>
      <c r="E48" s="19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95"/>
      <c r="F50" s="5" t="s">
        <v>4</v>
      </c>
      <c r="G50" s="5"/>
      <c r="H50" s="197">
        <f>G51*3.4%</f>
        <v>0</v>
      </c>
    </row>
    <row r="51" spans="1:8" ht="15.6" x14ac:dyDescent="0.3">
      <c r="A51" s="3" t="s">
        <v>5</v>
      </c>
      <c r="B51" s="6"/>
      <c r="C51" s="194"/>
      <c r="D51" s="196"/>
      <c r="E51" s="196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95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96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95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96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95"/>
      <c r="F59" s="5" t="s">
        <v>4</v>
      </c>
      <c r="G59" s="5"/>
      <c r="H59" s="197">
        <f>G60*2.5%</f>
        <v>0</v>
      </c>
    </row>
    <row r="60" spans="1:8" ht="15.6" x14ac:dyDescent="0.3">
      <c r="A60" s="3" t="s">
        <v>5</v>
      </c>
      <c r="B60" s="6"/>
      <c r="C60" s="194"/>
      <c r="D60" s="196"/>
      <c r="E60" s="196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95"/>
      <c r="F62" s="5" t="s">
        <v>4</v>
      </c>
      <c r="G62" s="5"/>
      <c r="H62" s="197">
        <f>G63*2%</f>
        <v>0</v>
      </c>
    </row>
    <row r="63" spans="1:8" ht="15.6" x14ac:dyDescent="0.3">
      <c r="A63" s="3" t="s">
        <v>5</v>
      </c>
      <c r="B63" s="6"/>
      <c r="C63" s="194"/>
      <c r="D63" s="196"/>
      <c r="E63" s="196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95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96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95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96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95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96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95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96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4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4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4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4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4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4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4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4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4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4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4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E23:E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E20:E2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E47:E48"/>
    <mergeCell ref="E50:E51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E53:E54"/>
    <mergeCell ref="E56:E57"/>
    <mergeCell ref="E59:E60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E62:E63"/>
    <mergeCell ref="E65:E66"/>
    <mergeCell ref="E68:E69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E71:E72"/>
    <mergeCell ref="E74:E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1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4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4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4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4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4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4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4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4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4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4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4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4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4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4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4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4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4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4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4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4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4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4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4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4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4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4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4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4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4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4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4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4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4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4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4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4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4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4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4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4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4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4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4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4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4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4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4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4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4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4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4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4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G6*6%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4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4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4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4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4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4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4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4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4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4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4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4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4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4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4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4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4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4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4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4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4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4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4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4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4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4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4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4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4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4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4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4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4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4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4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4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4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4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4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4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4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4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4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4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4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4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4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4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4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4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4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4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4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4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4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4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4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4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4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4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4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4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4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4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4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4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4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4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4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4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4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4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4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4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4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4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4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4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4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4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4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4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4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4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4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4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4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4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4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4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4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4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4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4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4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4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4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4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4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4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4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4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4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4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4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4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4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4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4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4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4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4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4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4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4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4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4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4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4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4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4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4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4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4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4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4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4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4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4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4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4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4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4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4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4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4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4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4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4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4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4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4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4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4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4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4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4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4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4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4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4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4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4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4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4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4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G6*6%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G9*2.5%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G12*2%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G18*2%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3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3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3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3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3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3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9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G6*4%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3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3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3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3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3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3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3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3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3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3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G12*6%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3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3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2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0:E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23:E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G6*4.13%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3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3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3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3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3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3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3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3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8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G12*6%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3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3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3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3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3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3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3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3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3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3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1" t="s">
        <v>14</v>
      </c>
    </row>
    <row r="93" spans="1:8" ht="24" customHeight="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1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3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3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3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3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3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3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3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3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3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3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3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3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3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3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3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3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3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3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3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3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8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G3*6%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G12*4%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G15*6%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G18*6%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3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80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3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3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G18*6%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G21*3.8%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3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3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3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3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3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3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3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3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3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3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3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3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3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3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3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3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3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3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3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3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3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3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3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3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3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3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3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3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3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3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3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3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3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3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3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3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3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3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3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3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3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3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1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20:E21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3:E24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28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29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28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29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28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29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28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29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28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29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28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29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28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29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28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29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28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29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28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29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28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29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28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29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28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29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28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29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28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29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28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29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28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29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28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29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28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29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28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29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28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29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28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29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28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29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28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29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28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29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28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29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80:C81"/>
    <mergeCell ref="D80:D81"/>
    <mergeCell ref="H80:H81"/>
    <mergeCell ref="A82:H82"/>
    <mergeCell ref="C83:C84"/>
    <mergeCell ref="D83:D84"/>
    <mergeCell ref="H83:H84"/>
    <mergeCell ref="A76:H76"/>
    <mergeCell ref="C77:C78"/>
    <mergeCell ref="D77:D78"/>
    <mergeCell ref="H77:H78"/>
    <mergeCell ref="A79:H79"/>
    <mergeCell ref="C89:C90"/>
    <mergeCell ref="D89:D90"/>
    <mergeCell ref="H89:H90"/>
    <mergeCell ref="A91:H91"/>
    <mergeCell ref="A85:H85"/>
    <mergeCell ref="C86:C87"/>
    <mergeCell ref="D86:D87"/>
    <mergeCell ref="H86:H87"/>
    <mergeCell ref="A88:H88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L132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G6*10%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G9*7%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13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134"/>
      <c r="C12" s="194"/>
      <c r="D12" s="196"/>
      <c r="E12" s="196"/>
      <c r="F12" s="5" t="s">
        <v>5</v>
      </c>
      <c r="G12" s="135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13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134"/>
      <c r="C15" s="194"/>
      <c r="D15" s="196"/>
      <c r="E15" s="196"/>
      <c r="F15" s="5" t="s">
        <v>5</v>
      </c>
      <c r="G15" s="135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13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134"/>
      <c r="C18" s="194"/>
      <c r="D18" s="196"/>
      <c r="E18" s="196"/>
      <c r="F18" s="5" t="s">
        <v>5</v>
      </c>
      <c r="G18" s="135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13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134"/>
      <c r="C21" s="194"/>
      <c r="D21" s="196"/>
      <c r="E21" s="196"/>
      <c r="F21" s="5" t="s">
        <v>5</v>
      </c>
      <c r="G21" s="135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13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134"/>
      <c r="C24" s="194"/>
      <c r="D24" s="196"/>
      <c r="E24" s="196"/>
      <c r="F24" s="5" t="s">
        <v>5</v>
      </c>
      <c r="G24" s="135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13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134"/>
      <c r="C27" s="194"/>
      <c r="D27" s="196"/>
      <c r="E27" s="196"/>
      <c r="F27" s="5" t="s">
        <v>5</v>
      </c>
      <c r="G27" s="135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G30*6%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G36*4%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95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9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95"/>
      <c r="F47" s="5" t="s">
        <v>4</v>
      </c>
      <c r="G47" s="5"/>
      <c r="H47" s="197">
        <f>G48*4%</f>
        <v>0</v>
      </c>
    </row>
    <row r="48" spans="1:8" ht="15.6" x14ac:dyDescent="0.3">
      <c r="A48" s="3" t="s">
        <v>5</v>
      </c>
      <c r="B48" s="6"/>
      <c r="C48" s="194"/>
      <c r="D48" s="196"/>
      <c r="E48" s="19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95"/>
      <c r="F50" s="5" t="s">
        <v>4</v>
      </c>
      <c r="G50" s="5"/>
      <c r="H50" s="197">
        <f>G51*2.5%</f>
        <v>0</v>
      </c>
    </row>
    <row r="51" spans="1:8" ht="15.6" x14ac:dyDescent="0.3">
      <c r="A51" s="3" t="s">
        <v>5</v>
      </c>
      <c r="B51" s="6"/>
      <c r="C51" s="194"/>
      <c r="D51" s="196"/>
      <c r="E51" s="196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95"/>
      <c r="F53" s="5" t="s">
        <v>4</v>
      </c>
      <c r="G53" s="5"/>
      <c r="H53" s="197">
        <f>G54*2.5%</f>
        <v>0</v>
      </c>
    </row>
    <row r="54" spans="1:8" ht="15.6" x14ac:dyDescent="0.3">
      <c r="A54" s="3" t="s">
        <v>5</v>
      </c>
      <c r="B54" s="6"/>
      <c r="C54" s="194"/>
      <c r="D54" s="196"/>
      <c r="E54" s="196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95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96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95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96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95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96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95"/>
      <c r="F65" s="5" t="s">
        <v>4</v>
      </c>
      <c r="G65" s="5"/>
      <c r="H65" s="197">
        <f>G66*2.5%</f>
        <v>0</v>
      </c>
    </row>
    <row r="66" spans="1:8" ht="15.6" x14ac:dyDescent="0.3">
      <c r="A66" s="3" t="s">
        <v>5</v>
      </c>
      <c r="B66" s="6"/>
      <c r="C66" s="194"/>
      <c r="D66" s="196"/>
      <c r="E66" s="196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95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96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95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96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95"/>
      <c r="F74" s="5" t="s">
        <v>4</v>
      </c>
      <c r="G74" s="5"/>
      <c r="H74" s="197">
        <f>G75*2.5%</f>
        <v>0</v>
      </c>
    </row>
    <row r="75" spans="1:8" ht="15.6" x14ac:dyDescent="0.3">
      <c r="A75" s="3" t="s">
        <v>5</v>
      </c>
      <c r="B75" s="6"/>
      <c r="C75" s="194"/>
      <c r="D75" s="196"/>
      <c r="E75" s="196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95"/>
      <c r="F77" s="5" t="s">
        <v>4</v>
      </c>
      <c r="G77" s="5"/>
      <c r="H77" s="197">
        <f>G78*2%</f>
        <v>0</v>
      </c>
    </row>
    <row r="78" spans="1:8" ht="15.6" x14ac:dyDescent="0.3">
      <c r="A78" s="3" t="s">
        <v>5</v>
      </c>
      <c r="B78" s="6"/>
      <c r="C78" s="194"/>
      <c r="D78" s="196"/>
      <c r="E78" s="196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95"/>
      <c r="F80" s="5" t="s">
        <v>4</v>
      </c>
      <c r="G80" s="5"/>
      <c r="H80" s="197">
        <f>G81*2%</f>
        <v>0</v>
      </c>
    </row>
    <row r="81" spans="1:8" ht="15.6" x14ac:dyDescent="0.3">
      <c r="A81" s="3" t="s">
        <v>5</v>
      </c>
      <c r="B81" s="6"/>
      <c r="C81" s="194"/>
      <c r="D81" s="196"/>
      <c r="E81" s="196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95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96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95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96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95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96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2"/>
      <c r="G91" s="192"/>
      <c r="H91" s="192"/>
    </row>
    <row r="92" spans="1:8" ht="15.6" x14ac:dyDescent="0.3">
      <c r="A92" s="3" t="s">
        <v>4</v>
      </c>
      <c r="B92" s="3"/>
      <c r="C92" s="193"/>
      <c r="D92" s="195"/>
      <c r="E92" s="195"/>
      <c r="F92" s="5" t="s">
        <v>4</v>
      </c>
      <c r="G92" s="5"/>
      <c r="H92" s="197">
        <f>G93*5%</f>
        <v>0</v>
      </c>
    </row>
    <row r="93" spans="1:8" ht="15.6" x14ac:dyDescent="0.3">
      <c r="A93" s="3" t="s">
        <v>5</v>
      </c>
      <c r="B93" s="6"/>
      <c r="C93" s="194"/>
      <c r="D93" s="196"/>
      <c r="E93" s="196"/>
      <c r="F93" s="5" t="s">
        <v>5</v>
      </c>
      <c r="G93" s="8"/>
      <c r="H93" s="198"/>
    </row>
    <row r="94" spans="1:8" ht="10.199999999999999" customHeight="1" x14ac:dyDescent="0.3">
      <c r="A94" s="191"/>
      <c r="B94" s="192"/>
      <c r="C94" s="192"/>
      <c r="D94" s="192"/>
      <c r="E94" s="192"/>
      <c r="F94" s="192"/>
      <c r="G94" s="192"/>
      <c r="H94" s="192"/>
    </row>
    <row r="95" spans="1:8" ht="15.6" x14ac:dyDescent="0.3">
      <c r="A95" s="3" t="s">
        <v>4</v>
      </c>
      <c r="B95" s="3"/>
      <c r="C95" s="193"/>
      <c r="D95" s="195"/>
      <c r="E95" s="195"/>
      <c r="F95" s="5" t="s">
        <v>4</v>
      </c>
      <c r="G95" s="5"/>
      <c r="H95" s="197">
        <f>G96*5%</f>
        <v>0</v>
      </c>
    </row>
    <row r="96" spans="1:8" ht="15.6" x14ac:dyDescent="0.3">
      <c r="A96" s="3" t="s">
        <v>5</v>
      </c>
      <c r="B96" s="6"/>
      <c r="C96" s="194"/>
      <c r="D96" s="196"/>
      <c r="E96" s="196"/>
      <c r="F96" s="5" t="s">
        <v>5</v>
      </c>
      <c r="G96" s="8"/>
      <c r="H96" s="198"/>
    </row>
    <row r="97" spans="1:8" ht="9" customHeight="1" x14ac:dyDescent="0.3">
      <c r="A97" s="191"/>
      <c r="B97" s="192"/>
      <c r="C97" s="192"/>
      <c r="D97" s="192"/>
      <c r="E97" s="192"/>
      <c r="F97" s="192"/>
      <c r="G97" s="192"/>
      <c r="H97" s="192"/>
    </row>
    <row r="98" spans="1:8" ht="15.6" x14ac:dyDescent="0.3">
      <c r="A98" s="3" t="s">
        <v>4</v>
      </c>
      <c r="B98" s="3"/>
      <c r="C98" s="193"/>
      <c r="D98" s="195"/>
      <c r="E98" s="195"/>
      <c r="F98" s="5" t="s">
        <v>4</v>
      </c>
      <c r="G98" s="5"/>
      <c r="H98" s="197">
        <f>G99*5%</f>
        <v>0</v>
      </c>
    </row>
    <row r="99" spans="1:8" ht="15.6" x14ac:dyDescent="0.3">
      <c r="A99" s="3" t="s">
        <v>5</v>
      </c>
      <c r="B99" s="6"/>
      <c r="C99" s="194"/>
      <c r="D99" s="196"/>
      <c r="E99" s="196"/>
      <c r="F99" s="5" t="s">
        <v>5</v>
      </c>
      <c r="G99" s="8"/>
      <c r="H99" s="198"/>
    </row>
    <row r="100" spans="1:8" ht="9" customHeight="1" x14ac:dyDescent="0.3">
      <c r="A100" s="106"/>
      <c r="B100" s="107"/>
      <c r="C100" s="108"/>
      <c r="D100" s="108"/>
      <c r="E100" s="108"/>
      <c r="F100" s="107"/>
      <c r="G100" s="107"/>
      <c r="H100" s="108"/>
    </row>
    <row r="101" spans="1:8" ht="15.6" x14ac:dyDescent="0.3">
      <c r="A101" s="3" t="s">
        <v>4</v>
      </c>
      <c r="B101" s="3"/>
      <c r="C101" s="193"/>
      <c r="D101" s="195"/>
      <c r="E101" s="195"/>
      <c r="F101" s="5" t="s">
        <v>4</v>
      </c>
      <c r="G101" s="5"/>
      <c r="H101" s="197">
        <f>G102*5%</f>
        <v>0</v>
      </c>
    </row>
    <row r="102" spans="1:8" ht="15.6" x14ac:dyDescent="0.3">
      <c r="A102" s="3" t="s">
        <v>5</v>
      </c>
      <c r="B102" s="6"/>
      <c r="C102" s="194"/>
      <c r="D102" s="196"/>
      <c r="E102" s="196"/>
      <c r="F102" s="5" t="s">
        <v>5</v>
      </c>
      <c r="G102" s="8"/>
      <c r="H102" s="198"/>
    </row>
    <row r="103" spans="1:8" ht="9" customHeight="1" x14ac:dyDescent="0.3">
      <c r="A103" s="106"/>
      <c r="B103" s="107"/>
      <c r="C103" s="108"/>
      <c r="D103" s="108"/>
      <c r="E103" s="108"/>
      <c r="F103" s="107"/>
      <c r="G103" s="107"/>
      <c r="H103" s="108"/>
    </row>
    <row r="104" spans="1:8" ht="15.6" x14ac:dyDescent="0.3">
      <c r="A104" s="3" t="s">
        <v>4</v>
      </c>
      <c r="B104" s="3"/>
      <c r="C104" s="193"/>
      <c r="D104" s="195"/>
      <c r="E104" s="195"/>
      <c r="F104" s="5" t="s">
        <v>4</v>
      </c>
      <c r="G104" s="5"/>
      <c r="H104" s="197">
        <f>G105*5%</f>
        <v>0</v>
      </c>
    </row>
    <row r="105" spans="1:8" ht="15.6" x14ac:dyDescent="0.3">
      <c r="A105" s="3" t="s">
        <v>5</v>
      </c>
      <c r="B105" s="6"/>
      <c r="C105" s="194"/>
      <c r="D105" s="196"/>
      <c r="E105" s="196"/>
      <c r="F105" s="5" t="s">
        <v>5</v>
      </c>
      <c r="G105" s="8"/>
      <c r="H105" s="198"/>
    </row>
    <row r="106" spans="1:8" ht="9" customHeight="1" x14ac:dyDescent="0.3">
      <c r="A106" s="191"/>
      <c r="B106" s="192"/>
      <c r="C106" s="192"/>
      <c r="D106" s="192"/>
      <c r="E106" s="192"/>
      <c r="F106" s="199"/>
      <c r="G106" s="199"/>
      <c r="H106" s="199"/>
    </row>
    <row r="107" spans="1:8" ht="15.6" x14ac:dyDescent="0.3">
      <c r="A107" s="3" t="s">
        <v>4</v>
      </c>
      <c r="B107" s="3"/>
      <c r="C107" s="193"/>
      <c r="D107" s="195"/>
      <c r="E107" s="195"/>
      <c r="F107" s="5" t="s">
        <v>4</v>
      </c>
      <c r="G107" s="5"/>
      <c r="H107" s="197">
        <f>G108*5%</f>
        <v>0</v>
      </c>
    </row>
    <row r="108" spans="1:8" ht="15.6" x14ac:dyDescent="0.3">
      <c r="A108" s="3" t="s">
        <v>5</v>
      </c>
      <c r="B108" s="6"/>
      <c r="C108" s="194"/>
      <c r="D108" s="196"/>
      <c r="E108" s="196"/>
      <c r="F108" s="5" t="s">
        <v>5</v>
      </c>
      <c r="G108" s="8"/>
      <c r="H108" s="198"/>
    </row>
    <row r="109" spans="1:8" ht="9" customHeight="1" x14ac:dyDescent="0.3">
      <c r="A109" s="191"/>
      <c r="B109" s="192"/>
      <c r="C109" s="192"/>
      <c r="D109" s="192"/>
      <c r="E109" s="192"/>
      <c r="F109" s="199"/>
      <c r="G109" s="199"/>
      <c r="H109" s="199"/>
    </row>
    <row r="110" spans="1:8" ht="15.6" x14ac:dyDescent="0.3">
      <c r="A110" s="3" t="s">
        <v>4</v>
      </c>
      <c r="B110" s="3"/>
      <c r="C110" s="193"/>
      <c r="D110" s="195"/>
      <c r="E110" s="195"/>
      <c r="F110" s="5" t="s">
        <v>4</v>
      </c>
      <c r="G110" s="5"/>
      <c r="H110" s="197">
        <f>G111*5%</f>
        <v>0</v>
      </c>
    </row>
    <row r="111" spans="1:8" ht="15.6" x14ac:dyDescent="0.3">
      <c r="A111" s="3" t="s">
        <v>5</v>
      </c>
      <c r="B111" s="6"/>
      <c r="C111" s="194"/>
      <c r="D111" s="196"/>
      <c r="E111" s="196"/>
      <c r="F111" s="5" t="s">
        <v>5</v>
      </c>
      <c r="G111" s="8"/>
      <c r="H111" s="198"/>
    </row>
    <row r="112" spans="1:8" ht="9" customHeight="1" x14ac:dyDescent="0.3">
      <c r="A112" s="191"/>
      <c r="B112" s="192"/>
      <c r="C112" s="192"/>
      <c r="D112" s="192"/>
      <c r="E112" s="192"/>
      <c r="F112" s="192"/>
      <c r="G112" s="192"/>
      <c r="H112" s="192"/>
    </row>
    <row r="113" spans="1:8" ht="15.6" x14ac:dyDescent="0.3">
      <c r="A113" s="3" t="s">
        <v>4</v>
      </c>
      <c r="B113" s="3"/>
      <c r="C113" s="193"/>
      <c r="D113" s="195"/>
      <c r="E113" s="195"/>
      <c r="F113" s="5" t="s">
        <v>4</v>
      </c>
      <c r="G113" s="5"/>
      <c r="H113" s="197">
        <f>G114*5%</f>
        <v>0</v>
      </c>
    </row>
    <row r="114" spans="1:8" ht="15.6" x14ac:dyDescent="0.3">
      <c r="A114" s="3" t="s">
        <v>5</v>
      </c>
      <c r="B114" s="6"/>
      <c r="C114" s="194"/>
      <c r="D114" s="196"/>
      <c r="E114" s="196"/>
      <c r="F114" s="5" t="s">
        <v>5</v>
      </c>
      <c r="G114" s="8"/>
      <c r="H114" s="198"/>
    </row>
    <row r="115" spans="1:8" ht="9" customHeight="1" x14ac:dyDescent="0.3">
      <c r="A115" s="191"/>
      <c r="B115" s="192"/>
      <c r="C115" s="192"/>
      <c r="D115" s="192"/>
      <c r="E115" s="192"/>
      <c r="F115" s="199"/>
      <c r="G115" s="199"/>
      <c r="H115" s="199"/>
    </row>
    <row r="116" spans="1:8" ht="15.6" x14ac:dyDescent="0.3">
      <c r="A116" s="3" t="s">
        <v>4</v>
      </c>
      <c r="B116" s="3"/>
      <c r="C116" s="193"/>
      <c r="D116" s="195"/>
      <c r="E116" s="195"/>
      <c r="F116" s="5" t="s">
        <v>4</v>
      </c>
      <c r="G116" s="5"/>
      <c r="H116" s="197">
        <f>G117*5%</f>
        <v>0</v>
      </c>
    </row>
    <row r="117" spans="1:8" ht="15.6" x14ac:dyDescent="0.3">
      <c r="A117" s="3" t="s">
        <v>5</v>
      </c>
      <c r="B117" s="6"/>
      <c r="C117" s="194"/>
      <c r="D117" s="196"/>
      <c r="E117" s="196"/>
      <c r="F117" s="5" t="s">
        <v>5</v>
      </c>
      <c r="G117" s="8"/>
      <c r="H117" s="198"/>
    </row>
    <row r="118" spans="1:8" ht="9" customHeight="1" x14ac:dyDescent="0.3">
      <c r="A118" s="191"/>
      <c r="B118" s="192"/>
      <c r="C118" s="192"/>
      <c r="D118" s="192"/>
      <c r="E118" s="192"/>
      <c r="F118" s="199"/>
      <c r="G118" s="199"/>
      <c r="H118" s="199"/>
    </row>
    <row r="119" spans="1:8" ht="15.6" x14ac:dyDescent="0.3">
      <c r="A119" s="3" t="s">
        <v>4</v>
      </c>
      <c r="B119" s="3"/>
      <c r="C119" s="193"/>
      <c r="D119" s="195"/>
      <c r="E119" s="113"/>
      <c r="F119" s="5" t="s">
        <v>4</v>
      </c>
      <c r="G119" s="5"/>
      <c r="H119" s="197">
        <f>G120*5%</f>
        <v>0</v>
      </c>
    </row>
    <row r="120" spans="1:8" ht="15.6" x14ac:dyDescent="0.3">
      <c r="A120" s="3" t="s">
        <v>5</v>
      </c>
      <c r="B120" s="6"/>
      <c r="C120" s="194"/>
      <c r="D120" s="196"/>
      <c r="E120" s="114"/>
      <c r="F120" s="5" t="s">
        <v>5</v>
      </c>
      <c r="G120" s="8"/>
      <c r="H120" s="198"/>
    </row>
    <row r="121" spans="1:8" ht="9" customHeight="1" x14ac:dyDescent="0.3">
      <c r="A121" s="191"/>
      <c r="B121" s="192"/>
      <c r="C121" s="192"/>
      <c r="D121" s="192"/>
      <c r="E121" s="192"/>
      <c r="F121" s="199"/>
      <c r="G121" s="199"/>
      <c r="H121" s="199"/>
    </row>
    <row r="122" spans="1:8" ht="15.6" x14ac:dyDescent="0.3">
      <c r="A122" s="3" t="s">
        <v>4</v>
      </c>
      <c r="B122" s="3"/>
      <c r="C122" s="193"/>
      <c r="D122" s="195"/>
      <c r="E122" s="113"/>
      <c r="F122" s="5" t="s">
        <v>4</v>
      </c>
      <c r="G122" s="5"/>
      <c r="H122" s="197">
        <f>G123*5%</f>
        <v>0</v>
      </c>
    </row>
    <row r="123" spans="1:8" ht="15.6" x14ac:dyDescent="0.3">
      <c r="A123" s="3" t="s">
        <v>5</v>
      </c>
      <c r="B123" s="6"/>
      <c r="C123" s="194"/>
      <c r="D123" s="196"/>
      <c r="E123" s="114"/>
      <c r="F123" s="5" t="s">
        <v>5</v>
      </c>
      <c r="G123" s="8"/>
      <c r="H123" s="198"/>
    </row>
    <row r="124" spans="1:8" ht="9" customHeight="1" x14ac:dyDescent="0.3">
      <c r="A124" s="191"/>
      <c r="B124" s="192"/>
      <c r="C124" s="192"/>
      <c r="D124" s="192"/>
      <c r="E124" s="192"/>
      <c r="F124" s="192"/>
      <c r="G124" s="192"/>
      <c r="H124" s="192"/>
    </row>
    <row r="125" spans="1:8" ht="15.6" x14ac:dyDescent="0.3">
      <c r="A125" s="3" t="s">
        <v>4</v>
      </c>
      <c r="B125" s="3"/>
      <c r="C125" s="111"/>
      <c r="D125" s="113"/>
      <c r="E125" s="113"/>
      <c r="F125" s="5" t="s">
        <v>4</v>
      </c>
      <c r="G125" s="5"/>
      <c r="H125" s="197">
        <f>G126*5%</f>
        <v>0</v>
      </c>
    </row>
    <row r="126" spans="1:8" ht="15.6" x14ac:dyDescent="0.3">
      <c r="A126" s="3" t="s">
        <v>5</v>
      </c>
      <c r="B126" s="6"/>
      <c r="C126" s="112"/>
      <c r="D126" s="114"/>
      <c r="E126" s="114"/>
      <c r="F126" s="5" t="s">
        <v>5</v>
      </c>
      <c r="G126" s="8"/>
      <c r="H126" s="198"/>
    </row>
    <row r="127" spans="1:8" ht="9" customHeight="1" x14ac:dyDescent="0.3">
      <c r="A127" s="191"/>
      <c r="B127" s="192"/>
      <c r="C127" s="192"/>
      <c r="D127" s="192"/>
      <c r="E127" s="192"/>
      <c r="F127" s="199"/>
      <c r="G127" s="199"/>
      <c r="H127" s="199"/>
    </row>
    <row r="128" spans="1:8" ht="15.6" x14ac:dyDescent="0.3">
      <c r="A128" s="3" t="s">
        <v>4</v>
      </c>
      <c r="B128" s="3"/>
      <c r="C128" s="193"/>
      <c r="D128" s="195"/>
      <c r="E128" s="16"/>
      <c r="F128" s="5" t="s">
        <v>4</v>
      </c>
      <c r="G128" s="5"/>
      <c r="H128" s="197">
        <f>G129*5%</f>
        <v>0</v>
      </c>
    </row>
    <row r="129" spans="1:8" ht="15.6" x14ac:dyDescent="0.3">
      <c r="A129" s="3" t="s">
        <v>5</v>
      </c>
      <c r="B129" s="6"/>
      <c r="C129" s="194"/>
      <c r="D129" s="196"/>
      <c r="E129" s="17"/>
      <c r="F129" s="5" t="s">
        <v>5</v>
      </c>
      <c r="G129" s="8"/>
      <c r="H129" s="198"/>
    </row>
    <row r="130" spans="1:8" ht="9" customHeight="1" x14ac:dyDescent="0.3">
      <c r="A130" s="191"/>
      <c r="B130" s="192"/>
      <c r="C130" s="192"/>
      <c r="D130" s="192"/>
      <c r="E130" s="192"/>
      <c r="F130" s="199"/>
      <c r="G130" s="199"/>
      <c r="H130" s="199"/>
    </row>
    <row r="131" spans="1:8" ht="16.2" thickBot="1" x14ac:dyDescent="0.35">
      <c r="F131" s="12" t="s">
        <v>13</v>
      </c>
      <c r="G131" s="14">
        <f>G3+G6+G9+G12+G15+G18+G21+G24+G27+G30+G33+G36+G39+G42+G45+G48+G51+G54+G57+G60+G63+G66+G69+G72+G75+G78+G81+G84+G87+G90+G93+G96+G99+G102+G105+G108+G111+G114+G117+G120+G123+G126+G129</f>
        <v>0</v>
      </c>
      <c r="H131" s="13" t="s">
        <v>14</v>
      </c>
    </row>
    <row r="132" spans="1:8" ht="18.600000000000001" thickBot="1" x14ac:dyDescent="0.4">
      <c r="H132" s="132">
        <f>H41+H44+H47+H50+H53+H56+H59+H62+H65+H68+H71+H74+H77+H80+H83+H86+H89+H92+H95+H98+H101+H104+H107+H110+H113+H116+H119+H122+H125+H128+H38+H35+H32+H29+H26+H23+H20+H17+H14+H11+H8+H5+H2</f>
        <v>0</v>
      </c>
    </row>
  </sheetData>
  <mergeCells count="210">
    <mergeCell ref="C119:C120"/>
    <mergeCell ref="D119:D120"/>
    <mergeCell ref="H119:H120"/>
    <mergeCell ref="A121:H121"/>
    <mergeCell ref="C122:C123"/>
    <mergeCell ref="A118:H118"/>
    <mergeCell ref="A106:H106"/>
    <mergeCell ref="C107:C108"/>
    <mergeCell ref="D107:D108"/>
    <mergeCell ref="H107:H108"/>
    <mergeCell ref="A109:H109"/>
    <mergeCell ref="C110:C111"/>
    <mergeCell ref="D110:D111"/>
    <mergeCell ref="H110:H111"/>
    <mergeCell ref="A112:H112"/>
    <mergeCell ref="A115:H115"/>
    <mergeCell ref="C116:C117"/>
    <mergeCell ref="D116:D117"/>
    <mergeCell ref="H116:H117"/>
    <mergeCell ref="H113:H114"/>
    <mergeCell ref="C113:C114"/>
    <mergeCell ref="E107:E108"/>
    <mergeCell ref="E110:E111"/>
    <mergeCell ref="D113:D114"/>
    <mergeCell ref="E113:E114"/>
    <mergeCell ref="E86:E87"/>
    <mergeCell ref="E89:E90"/>
    <mergeCell ref="A85:H85"/>
    <mergeCell ref="C86:C87"/>
    <mergeCell ref="D86:D87"/>
    <mergeCell ref="H86:H87"/>
    <mergeCell ref="A88:H88"/>
    <mergeCell ref="C89:C90"/>
    <mergeCell ref="D89:D90"/>
    <mergeCell ref="H89:H90"/>
    <mergeCell ref="E92:E93"/>
    <mergeCell ref="C92:C93"/>
    <mergeCell ref="E95:E96"/>
    <mergeCell ref="C104:C105"/>
    <mergeCell ref="D104:D105"/>
    <mergeCell ref="H104:H105"/>
    <mergeCell ref="C98:C99"/>
    <mergeCell ref="D98:D99"/>
    <mergeCell ref="E104:E105"/>
    <mergeCell ref="A130:H130"/>
    <mergeCell ref="C95:C96"/>
    <mergeCell ref="D95:D96"/>
    <mergeCell ref="H95:H96"/>
    <mergeCell ref="A97:H97"/>
    <mergeCell ref="E101:E102"/>
    <mergeCell ref="A91:H91"/>
    <mergeCell ref="A94:H94"/>
    <mergeCell ref="H92:H93"/>
    <mergeCell ref="C128:C129"/>
    <mergeCell ref="D128:D129"/>
    <mergeCell ref="H128:H129"/>
    <mergeCell ref="E116:E117"/>
    <mergeCell ref="D122:D123"/>
    <mergeCell ref="H122:H123"/>
    <mergeCell ref="H98:H99"/>
    <mergeCell ref="C101:C102"/>
    <mergeCell ref="D101:D102"/>
    <mergeCell ref="H101:H102"/>
    <mergeCell ref="E98:E99"/>
    <mergeCell ref="A124:H124"/>
    <mergeCell ref="A127:H127"/>
    <mergeCell ref="H125:H126"/>
    <mergeCell ref="D92:D93"/>
    <mergeCell ref="A82:H82"/>
    <mergeCell ref="E80:E81"/>
    <mergeCell ref="C83:C84"/>
    <mergeCell ref="D83:D84"/>
    <mergeCell ref="H83:H84"/>
    <mergeCell ref="C71:C72"/>
    <mergeCell ref="D71:D72"/>
    <mergeCell ref="H71:H72"/>
    <mergeCell ref="A73:H73"/>
    <mergeCell ref="C74:C75"/>
    <mergeCell ref="D74:D75"/>
    <mergeCell ref="H74:H75"/>
    <mergeCell ref="E71:E72"/>
    <mergeCell ref="E74:E75"/>
    <mergeCell ref="A76:H76"/>
    <mergeCell ref="C77:C78"/>
    <mergeCell ref="D77:D78"/>
    <mergeCell ref="H77:H78"/>
    <mergeCell ref="A79:H79"/>
    <mergeCell ref="E77:E78"/>
    <mergeCell ref="C80:C81"/>
    <mergeCell ref="D80:D81"/>
    <mergeCell ref="H80:H81"/>
    <mergeCell ref="E83:E84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E62:E63"/>
    <mergeCell ref="E65:E66"/>
    <mergeCell ref="E68:E69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E53:E54"/>
    <mergeCell ref="E56:E57"/>
    <mergeCell ref="E59:E60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E44:E45"/>
    <mergeCell ref="E47:E48"/>
    <mergeCell ref="E50:E51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0:E2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E23:E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80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3"/>
      <c r="C15" s="194"/>
      <c r="D15" s="196"/>
      <c r="E15" s="196"/>
      <c r="F15" s="5" t="s">
        <v>5</v>
      </c>
      <c r="G15" s="5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>
        <v>0</v>
      </c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2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2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2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2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2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2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2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2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2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2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2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2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2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2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2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2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2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2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2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2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2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2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2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2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2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2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2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2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2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2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2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2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2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2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2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2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2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2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2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2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2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2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2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2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2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2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0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2:H22"/>
    <mergeCell ref="C23:C24"/>
    <mergeCell ref="D23:D24"/>
    <mergeCell ref="H23:H24"/>
    <mergeCell ref="A25:H25"/>
    <mergeCell ref="A19:H19"/>
    <mergeCell ref="C20:C21"/>
    <mergeCell ref="D20:D21"/>
    <mergeCell ref="E20:E21"/>
    <mergeCell ref="H20:H21"/>
    <mergeCell ref="A16:H16"/>
    <mergeCell ref="C17:C18"/>
    <mergeCell ref="D17:D18"/>
    <mergeCell ref="E17:E18"/>
    <mergeCell ref="H17:H18"/>
    <mergeCell ref="A13:H13"/>
    <mergeCell ref="C14:C15"/>
    <mergeCell ref="D14:D15"/>
    <mergeCell ref="E14:E15"/>
    <mergeCell ref="H14:H15"/>
    <mergeCell ref="A10:H10"/>
    <mergeCell ref="C11:C12"/>
    <mergeCell ref="D11:D12"/>
    <mergeCell ref="E11:E12"/>
    <mergeCell ref="H11:H12"/>
    <mergeCell ref="A7:H7"/>
    <mergeCell ref="C8:C9"/>
    <mergeCell ref="D8:D9"/>
    <mergeCell ref="E8:E9"/>
    <mergeCell ref="H8:H9"/>
    <mergeCell ref="A4:H4"/>
    <mergeCell ref="J4:L5"/>
    <mergeCell ref="C5:C6"/>
    <mergeCell ref="D5:D6"/>
    <mergeCell ref="E5:E6"/>
    <mergeCell ref="H5:H6"/>
    <mergeCell ref="A1:B1"/>
    <mergeCell ref="F1:G1"/>
    <mergeCell ref="C2:C3"/>
    <mergeCell ref="D2:D3"/>
    <mergeCell ref="E2:E3"/>
    <mergeCell ref="H2:H3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L93"/>
  <sheetViews>
    <sheetView zoomScaleNormal="100" workbookViewId="0">
      <pane ySplit="1" topLeftCell="A83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G36*6%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5">
    <mergeCell ref="A1:B1"/>
    <mergeCell ref="F1:G1"/>
    <mergeCell ref="C2:C3"/>
    <mergeCell ref="D2:D3"/>
    <mergeCell ref="H2:H3"/>
    <mergeCell ref="A7:H7"/>
    <mergeCell ref="C8:C9"/>
    <mergeCell ref="D8:D9"/>
    <mergeCell ref="H8:H9"/>
    <mergeCell ref="E2:E3"/>
    <mergeCell ref="E5:E6"/>
    <mergeCell ref="E8:E9"/>
    <mergeCell ref="A4:H4"/>
    <mergeCell ref="J4:L5"/>
    <mergeCell ref="C5:C6"/>
    <mergeCell ref="D5:D6"/>
    <mergeCell ref="H5:H6"/>
    <mergeCell ref="A16:H16"/>
    <mergeCell ref="C17:C18"/>
    <mergeCell ref="D17:D18"/>
    <mergeCell ref="H17:H18"/>
    <mergeCell ref="E11:E12"/>
    <mergeCell ref="E14:E15"/>
    <mergeCell ref="E17:E18"/>
    <mergeCell ref="A19:H19"/>
    <mergeCell ref="C11:C12"/>
    <mergeCell ref="D11:D12"/>
    <mergeCell ref="H11:H12"/>
    <mergeCell ref="A13:H13"/>
    <mergeCell ref="C14:C15"/>
    <mergeCell ref="D14:D15"/>
    <mergeCell ref="H14:H15"/>
    <mergeCell ref="A10:H10"/>
    <mergeCell ref="A25:H25"/>
    <mergeCell ref="C26:C27"/>
    <mergeCell ref="D26:D27"/>
    <mergeCell ref="H26:H27"/>
    <mergeCell ref="A28:H28"/>
    <mergeCell ref="C20:C21"/>
    <mergeCell ref="D20:D21"/>
    <mergeCell ref="H20:H21"/>
    <mergeCell ref="A22:H22"/>
    <mergeCell ref="C23:C24"/>
    <mergeCell ref="D23:D24"/>
    <mergeCell ref="H23:H24"/>
    <mergeCell ref="E20:E21"/>
    <mergeCell ref="E23:E24"/>
    <mergeCell ref="E26:E27"/>
    <mergeCell ref="A34:H34"/>
    <mergeCell ref="C35:C36"/>
    <mergeCell ref="D35:D36"/>
    <mergeCell ref="H35:H36"/>
    <mergeCell ref="A37:H37"/>
    <mergeCell ref="C29:C30"/>
    <mergeCell ref="D29:D30"/>
    <mergeCell ref="H29:H30"/>
    <mergeCell ref="A31:H31"/>
    <mergeCell ref="C32:C33"/>
    <mergeCell ref="D32:D33"/>
    <mergeCell ref="H32:H33"/>
    <mergeCell ref="E29:E30"/>
    <mergeCell ref="E32:E33"/>
    <mergeCell ref="E35:E36"/>
    <mergeCell ref="A43:H43"/>
    <mergeCell ref="C44:C45"/>
    <mergeCell ref="D44:D45"/>
    <mergeCell ref="H44:H45"/>
    <mergeCell ref="A46:H46"/>
    <mergeCell ref="C38:C39"/>
    <mergeCell ref="D38:D39"/>
    <mergeCell ref="H38:H39"/>
    <mergeCell ref="A40:H40"/>
    <mergeCell ref="C41:C42"/>
    <mergeCell ref="D41:D42"/>
    <mergeCell ref="H41:H42"/>
    <mergeCell ref="A52:H52"/>
    <mergeCell ref="C53:C54"/>
    <mergeCell ref="D53:D54"/>
    <mergeCell ref="H53:H54"/>
    <mergeCell ref="A55:H55"/>
    <mergeCell ref="C47:C48"/>
    <mergeCell ref="D47:D48"/>
    <mergeCell ref="H47:H48"/>
    <mergeCell ref="A49:H49"/>
    <mergeCell ref="C50:C51"/>
    <mergeCell ref="D50:D51"/>
    <mergeCell ref="H50:H51"/>
    <mergeCell ref="A61:H61"/>
    <mergeCell ref="C62:C63"/>
    <mergeCell ref="D62:D63"/>
    <mergeCell ref="H62:H63"/>
    <mergeCell ref="A64:H64"/>
    <mergeCell ref="C56:C57"/>
    <mergeCell ref="D56:D57"/>
    <mergeCell ref="H56:H57"/>
    <mergeCell ref="A58:H58"/>
    <mergeCell ref="C59:C60"/>
    <mergeCell ref="D59:D60"/>
    <mergeCell ref="H59:H60"/>
    <mergeCell ref="A70:H70"/>
    <mergeCell ref="C71:C72"/>
    <mergeCell ref="D71:D72"/>
    <mergeCell ref="H71:H72"/>
    <mergeCell ref="A73:H73"/>
    <mergeCell ref="C65:C66"/>
    <mergeCell ref="D65:D66"/>
    <mergeCell ref="H65:H66"/>
    <mergeCell ref="A67:H67"/>
    <mergeCell ref="C68:C69"/>
    <mergeCell ref="D68:D69"/>
    <mergeCell ref="H68:H69"/>
    <mergeCell ref="A79:H79"/>
    <mergeCell ref="C80:C81"/>
    <mergeCell ref="D80:D81"/>
    <mergeCell ref="H80:H81"/>
    <mergeCell ref="A82:H82"/>
    <mergeCell ref="C74:C75"/>
    <mergeCell ref="D74:D75"/>
    <mergeCell ref="H74:H75"/>
    <mergeCell ref="A76:H76"/>
    <mergeCell ref="C77:C78"/>
    <mergeCell ref="D77:D78"/>
    <mergeCell ref="H77:H78"/>
    <mergeCell ref="A88:H88"/>
    <mergeCell ref="C89:C90"/>
    <mergeCell ref="D89:D90"/>
    <mergeCell ref="H89:H90"/>
    <mergeCell ref="A91:H91"/>
    <mergeCell ref="C83:C84"/>
    <mergeCell ref="D83:D84"/>
    <mergeCell ref="H83:H84"/>
    <mergeCell ref="A85:H85"/>
    <mergeCell ref="C86:C87"/>
    <mergeCell ref="D86:D87"/>
    <mergeCell ref="H86:H87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L93"/>
  <sheetViews>
    <sheetView zoomScaleNormal="100" workbookViewId="0">
      <pane ySplit="1" topLeftCell="A77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G42*6%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"/>
  <dimension ref="A1:L93"/>
  <sheetViews>
    <sheetView zoomScaleNormal="100" workbookViewId="0">
      <pane ySplit="1" topLeftCell="A77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G30*6%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2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6"/>
  <dimension ref="A1:L93"/>
  <sheetViews>
    <sheetView zoomScaleNormal="100" workbookViewId="0">
      <pane ySplit="1" topLeftCell="A77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G39*6%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6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7"/>
  <dimension ref="A1:L93"/>
  <sheetViews>
    <sheetView zoomScaleNormal="100" workbookViewId="0">
      <pane ySplit="1" topLeftCell="A80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G39*6%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6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8"/>
  <dimension ref="A1:L93"/>
  <sheetViews>
    <sheetView zoomScaleNormal="100" workbookViewId="0">
      <pane ySplit="1" topLeftCell="A71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/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G12*3%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95"/>
      <c r="F44" s="5" t="s">
        <v>4</v>
      </c>
      <c r="G44" s="5"/>
      <c r="H44" s="197">
        <f>G45*6%</f>
        <v>0</v>
      </c>
    </row>
    <row r="45" spans="1:8" ht="15.6" x14ac:dyDescent="0.3">
      <c r="A45" s="3" t="s">
        <v>5</v>
      </c>
      <c r="B45" s="6"/>
      <c r="C45" s="194"/>
      <c r="D45" s="196"/>
      <c r="E45" s="19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8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E44:E45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E20:E21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9"/>
  <dimension ref="A1:L93"/>
  <sheetViews>
    <sheetView zoomScaleNormal="100" workbookViewId="0">
      <pane ySplit="1" topLeftCell="A80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G42*6%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0"/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G6*3%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G27*6%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2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A25:H25"/>
    <mergeCell ref="C17:C18"/>
    <mergeCell ref="D17:D18"/>
    <mergeCell ref="H17:H18"/>
    <mergeCell ref="A19:H19"/>
    <mergeCell ref="C20:C21"/>
    <mergeCell ref="D20:D21"/>
    <mergeCell ref="H20:H21"/>
    <mergeCell ref="E17:E18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4:E15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1"/>
  <dimension ref="A1:L93"/>
  <sheetViews>
    <sheetView zoomScaleNormal="100" workbookViewId="0">
      <pane ySplit="1" topLeftCell="A65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G9*3%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G39*6%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5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2"/>
  <dimension ref="A1:L93"/>
  <sheetViews>
    <sheetView zoomScaleNormal="100" workbookViewId="0">
      <pane ySplit="1" topLeftCell="A68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G9*4%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G39*6%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6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A31:H31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E20:E21"/>
    <mergeCell ref="E23:E24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3"/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9.55468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G12*3%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96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96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96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95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96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95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96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96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96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G42*6%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3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E20:E21"/>
    <mergeCell ref="E23:E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/>
  <dimension ref="A1:L99"/>
  <sheetViews>
    <sheetView zoomScaleNormal="100" workbookViewId="0">
      <pane ySplit="1" topLeftCell="A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20.7773437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133"/>
      <c r="C2" s="193"/>
      <c r="D2" s="195"/>
      <c r="E2" s="195"/>
      <c r="F2" s="5" t="s">
        <v>4</v>
      </c>
      <c r="G2" s="5"/>
      <c r="H2" s="197">
        <f>G3*4%</f>
        <v>0</v>
      </c>
    </row>
    <row r="3" spans="1:12" ht="18" thickBot="1" x14ac:dyDescent="0.35">
      <c r="A3" s="3" t="s">
        <v>5</v>
      </c>
      <c r="B3" s="134"/>
      <c r="C3" s="194"/>
      <c r="D3" s="196"/>
      <c r="E3" s="196"/>
      <c r="F3" s="5" t="s">
        <v>5</v>
      </c>
      <c r="G3" s="135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13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134"/>
      <c r="C6" s="194"/>
      <c r="D6" s="196"/>
      <c r="E6" s="196"/>
      <c r="F6" s="5" t="s">
        <v>5</v>
      </c>
      <c r="G6" s="135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133"/>
      <c r="C8" s="193"/>
      <c r="D8" s="195"/>
      <c r="E8" s="195"/>
      <c r="F8" s="5" t="s">
        <v>4</v>
      </c>
      <c r="G8" s="5"/>
      <c r="H8" s="197">
        <f>G9*8%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134"/>
      <c r="C9" s="194"/>
      <c r="D9" s="196"/>
      <c r="E9" s="196"/>
      <c r="F9" s="5" t="s">
        <v>5</v>
      </c>
      <c r="G9" s="135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13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134"/>
      <c r="C12" s="194"/>
      <c r="D12" s="196"/>
      <c r="E12" s="196"/>
      <c r="F12" s="5" t="s">
        <v>5</v>
      </c>
      <c r="G12" s="135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133"/>
      <c r="C14" s="193"/>
      <c r="D14" s="195"/>
      <c r="E14" s="195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134"/>
      <c r="C15" s="194"/>
      <c r="D15" s="196"/>
      <c r="E15" s="196"/>
      <c r="F15" s="5" t="s">
        <v>5</v>
      </c>
      <c r="G15" s="135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133"/>
      <c r="C17" s="193"/>
      <c r="D17" s="195"/>
      <c r="E17" s="195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134"/>
      <c r="C18" s="194"/>
      <c r="D18" s="196"/>
      <c r="E18" s="196"/>
      <c r="F18" s="5" t="s">
        <v>5</v>
      </c>
      <c r="G18" s="135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133"/>
      <c r="C20" s="193"/>
      <c r="D20" s="195"/>
      <c r="E20" s="195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134"/>
      <c r="C21" s="194"/>
      <c r="D21" s="196"/>
      <c r="E21" s="196"/>
      <c r="F21" s="5" t="s">
        <v>5</v>
      </c>
      <c r="G21" s="135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133"/>
      <c r="C23" s="193"/>
      <c r="D23" s="195"/>
      <c r="E23" s="195"/>
      <c r="F23" s="5" t="s">
        <v>4</v>
      </c>
      <c r="G23" s="5"/>
      <c r="H23" s="197">
        <f>G24*10%</f>
        <v>0</v>
      </c>
    </row>
    <row r="24" spans="1:8" ht="15.6" x14ac:dyDescent="0.3">
      <c r="A24" s="3" t="s">
        <v>5</v>
      </c>
      <c r="B24" s="134"/>
      <c r="C24" s="194"/>
      <c r="D24" s="196"/>
      <c r="E24" s="196"/>
      <c r="F24" s="5" t="s">
        <v>5</v>
      </c>
      <c r="G24" s="135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133"/>
      <c r="C26" s="193"/>
      <c r="D26" s="195"/>
      <c r="E26" s="195"/>
      <c r="F26" s="5" t="s">
        <v>4</v>
      </c>
      <c r="G26" s="5"/>
      <c r="H26" s="197">
        <f>G27*7%</f>
        <v>0</v>
      </c>
    </row>
    <row r="27" spans="1:8" ht="15.6" x14ac:dyDescent="0.3">
      <c r="A27" s="3" t="s">
        <v>5</v>
      </c>
      <c r="B27" s="134"/>
      <c r="C27" s="194"/>
      <c r="D27" s="196"/>
      <c r="E27" s="196"/>
      <c r="F27" s="5" t="s">
        <v>5</v>
      </c>
      <c r="G27" s="135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133"/>
      <c r="C29" s="193"/>
      <c r="D29" s="195"/>
      <c r="E29" s="195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134"/>
      <c r="C30" s="194"/>
      <c r="D30" s="196"/>
      <c r="E30" s="196"/>
      <c r="F30" s="5" t="s">
        <v>5</v>
      </c>
      <c r="G30" s="135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133"/>
      <c r="C32" s="193"/>
      <c r="D32" s="195"/>
      <c r="E32" s="195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134"/>
      <c r="C33" s="194"/>
      <c r="D33" s="196"/>
      <c r="E33" s="196"/>
      <c r="F33" s="5" t="s">
        <v>5</v>
      </c>
      <c r="G33" s="135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95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96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95"/>
      <c r="F38" s="5" t="s">
        <v>4</v>
      </c>
      <c r="G38" s="5"/>
      <c r="H38" s="197">
        <f>G39*8%</f>
        <v>0</v>
      </c>
    </row>
    <row r="39" spans="1:8" ht="15.6" x14ac:dyDescent="0.3">
      <c r="A39" s="3" t="s">
        <v>5</v>
      </c>
      <c r="B39" s="6"/>
      <c r="C39" s="194"/>
      <c r="D39" s="196"/>
      <c r="E39" s="196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95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96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95"/>
      <c r="F44" s="5" t="s">
        <v>4</v>
      </c>
      <c r="G44" s="5"/>
      <c r="H44" s="197">
        <f>G45*2.5%</f>
        <v>0</v>
      </c>
    </row>
    <row r="45" spans="1:8" ht="15.6" x14ac:dyDescent="0.3">
      <c r="A45" s="3" t="s">
        <v>5</v>
      </c>
      <c r="B45" s="6"/>
      <c r="C45" s="194"/>
      <c r="D45" s="196"/>
      <c r="E45" s="196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95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96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95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96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95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96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95"/>
      <c r="F56" s="5" t="s">
        <v>4</v>
      </c>
      <c r="G56" s="5"/>
      <c r="H56" s="197">
        <f>G57*2.5%</f>
        <v>0</v>
      </c>
    </row>
    <row r="57" spans="1:8" ht="15.6" x14ac:dyDescent="0.3">
      <c r="A57" s="3" t="s">
        <v>5</v>
      </c>
      <c r="B57" s="6"/>
      <c r="C57" s="194"/>
      <c r="D57" s="196"/>
      <c r="E57" s="196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95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96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95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96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95"/>
      <c r="F65" s="5" t="s">
        <v>4</v>
      </c>
      <c r="G65" s="5"/>
      <c r="H65" s="197">
        <f>G66*2%</f>
        <v>0</v>
      </c>
    </row>
    <row r="66" spans="1:8" ht="15.6" x14ac:dyDescent="0.3">
      <c r="A66" s="3" t="s">
        <v>5</v>
      </c>
      <c r="B66" s="6"/>
      <c r="C66" s="194"/>
      <c r="D66" s="196"/>
      <c r="E66" s="196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95"/>
      <c r="F68" s="5" t="s">
        <v>4</v>
      </c>
      <c r="G68" s="5"/>
      <c r="H68" s="197">
        <f>G69*8%</f>
        <v>0</v>
      </c>
    </row>
    <row r="69" spans="1:8" ht="15.6" x14ac:dyDescent="0.3">
      <c r="A69" s="3" t="s">
        <v>5</v>
      </c>
      <c r="B69" s="6"/>
      <c r="C69" s="194"/>
      <c r="D69" s="196"/>
      <c r="E69" s="196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95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96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95"/>
      <c r="F74" s="5" t="s">
        <v>4</v>
      </c>
      <c r="G74" s="5"/>
      <c r="H74" s="197">
        <f>G75*4%</f>
        <v>0</v>
      </c>
    </row>
    <row r="75" spans="1:8" ht="15.6" x14ac:dyDescent="0.3">
      <c r="A75" s="3" t="s">
        <v>5</v>
      </c>
      <c r="B75" s="6"/>
      <c r="C75" s="194"/>
      <c r="D75" s="196"/>
      <c r="E75" s="196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95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96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95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96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95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96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95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96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95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96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2"/>
      <c r="G91" s="192"/>
      <c r="H91" s="192"/>
    </row>
    <row r="92" spans="1:8" ht="15.6" x14ac:dyDescent="0.3">
      <c r="A92" s="3" t="s">
        <v>4</v>
      </c>
      <c r="B92" s="3"/>
      <c r="C92" s="193"/>
      <c r="D92" s="195"/>
      <c r="E92" s="195"/>
      <c r="F92" s="5" t="s">
        <v>4</v>
      </c>
      <c r="G92" s="5"/>
      <c r="H92" s="197">
        <f>G93*5%</f>
        <v>0</v>
      </c>
    </row>
    <row r="93" spans="1:8" ht="15.6" x14ac:dyDescent="0.3">
      <c r="A93" s="3" t="s">
        <v>5</v>
      </c>
      <c r="B93" s="6"/>
      <c r="C93" s="194"/>
      <c r="D93" s="196"/>
      <c r="E93" s="196"/>
      <c r="F93" s="5" t="s">
        <v>5</v>
      </c>
      <c r="G93" s="8"/>
      <c r="H93" s="198"/>
    </row>
    <row r="94" spans="1:8" ht="9" customHeight="1" x14ac:dyDescent="0.3">
      <c r="A94" s="127"/>
      <c r="B94" s="128"/>
      <c r="C94" s="129"/>
      <c r="D94" s="129"/>
      <c r="E94" s="129"/>
      <c r="F94" s="128"/>
      <c r="G94" s="128"/>
      <c r="H94" s="129"/>
    </row>
    <row r="95" spans="1:8" ht="15.6" x14ac:dyDescent="0.3">
      <c r="A95" s="3" t="s">
        <v>4</v>
      </c>
      <c r="B95" s="3"/>
      <c r="C95" s="193"/>
      <c r="D95" s="195"/>
      <c r="E95" s="195"/>
      <c r="F95" s="5" t="s">
        <v>4</v>
      </c>
      <c r="G95" s="5"/>
      <c r="H95" s="197">
        <f>G96*5%</f>
        <v>0</v>
      </c>
    </row>
    <row r="96" spans="1:8" ht="15.6" x14ac:dyDescent="0.3">
      <c r="A96" s="3" t="s">
        <v>5</v>
      </c>
      <c r="B96" s="6"/>
      <c r="C96" s="194"/>
      <c r="D96" s="196"/>
      <c r="E96" s="196"/>
      <c r="F96" s="5" t="s">
        <v>5</v>
      </c>
      <c r="G96" s="8"/>
      <c r="H96" s="198"/>
    </row>
    <row r="97" spans="1:8" ht="9" customHeight="1" x14ac:dyDescent="0.3">
      <c r="A97" s="191"/>
      <c r="B97" s="192"/>
      <c r="C97" s="192"/>
      <c r="D97" s="192"/>
      <c r="E97" s="192"/>
      <c r="F97" s="199"/>
      <c r="G97" s="199"/>
      <c r="H97" s="199"/>
    </row>
    <row r="98" spans="1:8" ht="16.2" thickBot="1" x14ac:dyDescent="0.35">
      <c r="F98" s="12" t="s">
        <v>13</v>
      </c>
      <c r="G98" s="14">
        <f>SUM(G96,G90,G87,G84,G81,G78,G75,G72,G69,G66,G63,G60,G57,G54,G51,G48,G45,G42,G39,G36,G33,G30,G27,G24,G21,G18,G15,G12,G9,G6,G3,G90,G87,G93)</f>
        <v>0</v>
      </c>
      <c r="H98" s="13" t="s">
        <v>14</v>
      </c>
    </row>
    <row r="99" spans="1:8" ht="18.600000000000001" thickBot="1" x14ac:dyDescent="0.4">
      <c r="H99" s="132">
        <f>H8+H11+H14+H17+H20+H23+H26+H29+H32+H35+H38+H41+H44+H47+H50+H53+H56+H59+H62+H65+H68+H71+H74+H77+H80+H83+H86+H89+H92+H95+H5+H2</f>
        <v>0</v>
      </c>
    </row>
  </sheetData>
  <mergeCells count="162">
    <mergeCell ref="A97:H97"/>
    <mergeCell ref="A85:H85"/>
    <mergeCell ref="C86:C87"/>
    <mergeCell ref="D86:D87"/>
    <mergeCell ref="H86:H87"/>
    <mergeCell ref="A91:H91"/>
    <mergeCell ref="E86:E87"/>
    <mergeCell ref="A88:H88"/>
    <mergeCell ref="C89:C90"/>
    <mergeCell ref="D89:D90"/>
    <mergeCell ref="H89:H90"/>
    <mergeCell ref="E89:E90"/>
    <mergeCell ref="C92:C93"/>
    <mergeCell ref="D92:D93"/>
    <mergeCell ref="E92:E93"/>
    <mergeCell ref="H92:H93"/>
    <mergeCell ref="E95:E96"/>
    <mergeCell ref="C95:C96"/>
    <mergeCell ref="D95:D96"/>
    <mergeCell ref="H95:H96"/>
    <mergeCell ref="C80:C81"/>
    <mergeCell ref="D80:D81"/>
    <mergeCell ref="H80:H81"/>
    <mergeCell ref="A82:H82"/>
    <mergeCell ref="C83:C84"/>
    <mergeCell ref="D83:D84"/>
    <mergeCell ref="H83:H84"/>
    <mergeCell ref="E80:E81"/>
    <mergeCell ref="E83:E84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E71:E72"/>
    <mergeCell ref="E74:E75"/>
    <mergeCell ref="E77:E78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E62:E63"/>
    <mergeCell ref="E65:E66"/>
    <mergeCell ref="E68:E69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E53:E54"/>
    <mergeCell ref="E56:E57"/>
    <mergeCell ref="E59:E60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E44:E45"/>
    <mergeCell ref="E47:E48"/>
    <mergeCell ref="E50:E51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E35:E36"/>
    <mergeCell ref="E38:E39"/>
    <mergeCell ref="E41:E42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E26:E27"/>
    <mergeCell ref="E29:E30"/>
    <mergeCell ref="E32:E33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E17:E18"/>
    <mergeCell ref="E20:E21"/>
    <mergeCell ref="E23:E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E14:E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5"/>
  <dimension ref="A1:L93"/>
  <sheetViews>
    <sheetView zoomScaleNormal="100" workbookViewId="0">
      <pane ySplit="1" topLeftCell="A65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6"/>
  <dimension ref="A1:L93"/>
  <sheetViews>
    <sheetView zoomScaleNormal="100" workbookViewId="0">
      <pane ySplit="1" topLeftCell="A74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16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17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16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17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16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17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16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17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16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17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16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17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16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17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16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17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16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17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16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17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16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17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16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17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16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17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16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17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16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17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16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17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16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17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16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17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16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17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16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17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16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17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16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17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16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17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16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17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16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17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16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17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2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G6*2.5%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20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21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20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21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20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21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20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21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20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21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20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21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20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21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20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21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20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21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20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21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20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21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20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21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20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21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20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21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20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21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20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21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20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21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20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21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20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21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20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21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20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21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20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21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20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21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20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21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20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21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20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21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80" activePane="bottomLeft" state="frozen"/>
      <selection pane="bottomLeft" activeCell="H93" sqref="H93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G6*5%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22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23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22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23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22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23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22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23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22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23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22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23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22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23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22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23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22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23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22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23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22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23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22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23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22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23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22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23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22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23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22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23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22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23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22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23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22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23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22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23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22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23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22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23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22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23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22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23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22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23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22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23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zoomScaleNormal="100" workbookViewId="0">
      <pane ySplit="1" topLeftCell="A65" activePane="bottomLeft" state="frozen"/>
      <selection pane="bottomLeft" activeCell="J4" sqref="J4:L5"/>
    </sheetView>
  </sheetViews>
  <sheetFormatPr defaultRowHeight="14.4" x14ac:dyDescent="0.3"/>
  <cols>
    <col min="1" max="1" width="16.5546875" bestFit="1" customWidth="1"/>
    <col min="2" max="2" width="17.44140625" customWidth="1"/>
    <col min="3" max="3" width="23.6640625" bestFit="1" customWidth="1"/>
    <col min="4" max="4" width="15.6640625" bestFit="1" customWidth="1"/>
    <col min="5" max="5" width="15.6640625" customWidth="1"/>
    <col min="6" max="6" width="20" bestFit="1" customWidth="1"/>
    <col min="7" max="7" width="20" customWidth="1"/>
    <col min="8" max="8" width="22.109375" bestFit="1" customWidth="1"/>
  </cols>
  <sheetData>
    <row r="1" spans="1:12" ht="17.399999999999999" x14ac:dyDescent="0.3">
      <c r="A1" s="206" t="s">
        <v>3</v>
      </c>
      <c r="B1" s="207"/>
      <c r="C1" s="1" t="s">
        <v>6</v>
      </c>
      <c r="D1" s="2" t="s">
        <v>7</v>
      </c>
      <c r="E1" s="2" t="s">
        <v>8</v>
      </c>
      <c r="F1" s="208" t="s">
        <v>9</v>
      </c>
      <c r="G1" s="209"/>
      <c r="H1" s="1" t="s">
        <v>10</v>
      </c>
    </row>
    <row r="2" spans="1:12" ht="15.6" x14ac:dyDescent="0.3">
      <c r="A2" s="3" t="s">
        <v>4</v>
      </c>
      <c r="B2" s="3"/>
      <c r="C2" s="193"/>
      <c r="D2" s="195"/>
      <c r="E2" s="195"/>
      <c r="F2" s="5" t="s">
        <v>4</v>
      </c>
      <c r="G2" s="5"/>
      <c r="H2" s="197">
        <f>G3*5%</f>
        <v>0</v>
      </c>
    </row>
    <row r="3" spans="1:12" ht="18" thickBot="1" x14ac:dyDescent="0.35">
      <c r="A3" s="3" t="s">
        <v>5</v>
      </c>
      <c r="B3" s="6"/>
      <c r="C3" s="194"/>
      <c r="D3" s="196"/>
      <c r="E3" s="196"/>
      <c r="F3" s="5" t="s">
        <v>5</v>
      </c>
      <c r="G3" s="8"/>
      <c r="H3" s="198"/>
      <c r="J3" s="9"/>
      <c r="K3" s="9"/>
      <c r="L3" s="9"/>
    </row>
    <row r="4" spans="1:12" ht="9" customHeight="1" x14ac:dyDescent="0.3">
      <c r="A4" s="191"/>
      <c r="B4" s="192"/>
      <c r="C4" s="192"/>
      <c r="D4" s="192"/>
      <c r="E4" s="192"/>
      <c r="F4" s="192"/>
      <c r="G4" s="192"/>
      <c r="H4" s="192"/>
      <c r="I4" s="11"/>
      <c r="J4" s="200" t="s">
        <v>2</v>
      </c>
      <c r="K4" s="201"/>
      <c r="L4" s="202"/>
    </row>
    <row r="5" spans="1:12" ht="16.2" thickBot="1" x14ac:dyDescent="0.35">
      <c r="A5" s="3" t="s">
        <v>4</v>
      </c>
      <c r="B5" s="3"/>
      <c r="C5" s="193"/>
      <c r="D5" s="195"/>
      <c r="E5" s="195"/>
      <c r="F5" s="5" t="s">
        <v>4</v>
      </c>
      <c r="G5" s="5"/>
      <c r="H5" s="197">
        <f>G6*4%</f>
        <v>0</v>
      </c>
      <c r="I5" s="11"/>
      <c r="J5" s="203"/>
      <c r="K5" s="204"/>
      <c r="L5" s="205"/>
    </row>
    <row r="6" spans="1:12" ht="17.399999999999999" x14ac:dyDescent="0.3">
      <c r="A6" s="3" t="s">
        <v>5</v>
      </c>
      <c r="B6" s="6"/>
      <c r="C6" s="194"/>
      <c r="D6" s="196"/>
      <c r="E6" s="196"/>
      <c r="F6" s="5" t="s">
        <v>5</v>
      </c>
      <c r="G6" s="8"/>
      <c r="H6" s="198"/>
      <c r="I6" s="11"/>
      <c r="J6" s="10"/>
      <c r="K6" s="10"/>
      <c r="L6" s="10"/>
    </row>
    <row r="7" spans="1:12" ht="9" customHeight="1" x14ac:dyDescent="0.3">
      <c r="A7" s="191"/>
      <c r="B7" s="192"/>
      <c r="C7" s="192"/>
      <c r="D7" s="192"/>
      <c r="E7" s="192"/>
      <c r="F7" s="192"/>
      <c r="G7" s="192"/>
      <c r="H7" s="192"/>
      <c r="I7" s="11"/>
      <c r="J7" s="10"/>
      <c r="K7" s="10"/>
      <c r="L7" s="10"/>
    </row>
    <row r="8" spans="1:12" ht="17.399999999999999" x14ac:dyDescent="0.3">
      <c r="A8" s="3" t="s">
        <v>4</v>
      </c>
      <c r="B8" s="3"/>
      <c r="C8" s="193"/>
      <c r="D8" s="195"/>
      <c r="E8" s="195"/>
      <c r="F8" s="5" t="s">
        <v>4</v>
      </c>
      <c r="G8" s="5"/>
      <c r="H8" s="197">
        <f>G9*5%</f>
        <v>0</v>
      </c>
      <c r="I8" s="11"/>
      <c r="J8" s="10"/>
      <c r="K8" s="10"/>
      <c r="L8" s="10"/>
    </row>
    <row r="9" spans="1:12" ht="15.6" x14ac:dyDescent="0.3">
      <c r="A9" s="3" t="s">
        <v>5</v>
      </c>
      <c r="B9" s="6"/>
      <c r="C9" s="194"/>
      <c r="D9" s="196"/>
      <c r="E9" s="196"/>
      <c r="F9" s="5" t="s">
        <v>5</v>
      </c>
      <c r="G9" s="8"/>
      <c r="H9" s="198"/>
      <c r="I9" s="11"/>
      <c r="J9" s="11"/>
      <c r="K9" s="11"/>
      <c r="L9" s="11"/>
    </row>
    <row r="10" spans="1:12" ht="9" customHeight="1" x14ac:dyDescent="0.3">
      <c r="A10" s="191"/>
      <c r="B10" s="192"/>
      <c r="C10" s="192"/>
      <c r="D10" s="192"/>
      <c r="E10" s="192"/>
      <c r="F10" s="192"/>
      <c r="G10" s="192"/>
      <c r="H10" s="192"/>
    </row>
    <row r="11" spans="1:12" ht="15.6" x14ac:dyDescent="0.3">
      <c r="A11" s="3" t="s">
        <v>4</v>
      </c>
      <c r="B11" s="3"/>
      <c r="C11" s="193"/>
      <c r="D11" s="195"/>
      <c r="E11" s="195"/>
      <c r="F11" s="5" t="s">
        <v>4</v>
      </c>
      <c r="G11" s="5"/>
      <c r="H11" s="197">
        <f>G12*5%</f>
        <v>0</v>
      </c>
    </row>
    <row r="12" spans="1:12" ht="15.6" x14ac:dyDescent="0.3">
      <c r="A12" s="3" t="s">
        <v>5</v>
      </c>
      <c r="B12" s="6"/>
      <c r="C12" s="194"/>
      <c r="D12" s="196"/>
      <c r="E12" s="196"/>
      <c r="F12" s="5" t="s">
        <v>5</v>
      </c>
      <c r="G12" s="8"/>
      <c r="H12" s="198"/>
    </row>
    <row r="13" spans="1:12" ht="9" customHeight="1" x14ac:dyDescent="0.3">
      <c r="A13" s="191"/>
      <c r="B13" s="192"/>
      <c r="C13" s="192"/>
      <c r="D13" s="192"/>
      <c r="E13" s="192"/>
      <c r="F13" s="192"/>
      <c r="G13" s="192"/>
      <c r="H13" s="192"/>
    </row>
    <row r="14" spans="1:12" ht="15.6" x14ac:dyDescent="0.3">
      <c r="A14" s="3" t="s">
        <v>4</v>
      </c>
      <c r="B14" s="3"/>
      <c r="C14" s="193"/>
      <c r="D14" s="195"/>
      <c r="E14" s="24"/>
      <c r="F14" s="5" t="s">
        <v>4</v>
      </c>
      <c r="G14" s="5"/>
      <c r="H14" s="197">
        <f>G15*5%</f>
        <v>0</v>
      </c>
    </row>
    <row r="15" spans="1:12" ht="15.6" x14ac:dyDescent="0.3">
      <c r="A15" s="3" t="s">
        <v>5</v>
      </c>
      <c r="B15" s="6"/>
      <c r="C15" s="194"/>
      <c r="D15" s="196"/>
      <c r="E15" s="25"/>
      <c r="F15" s="5" t="s">
        <v>5</v>
      </c>
      <c r="G15" s="8"/>
      <c r="H15" s="198"/>
    </row>
    <row r="16" spans="1:12" ht="9" customHeight="1" x14ac:dyDescent="0.3">
      <c r="A16" s="191"/>
      <c r="B16" s="192"/>
      <c r="C16" s="192"/>
      <c r="D16" s="192"/>
      <c r="E16" s="192"/>
      <c r="F16" s="192"/>
      <c r="G16" s="192"/>
      <c r="H16" s="192"/>
    </row>
    <row r="17" spans="1:8" ht="15.6" x14ac:dyDescent="0.3">
      <c r="A17" s="3" t="s">
        <v>4</v>
      </c>
      <c r="B17" s="3"/>
      <c r="C17" s="193"/>
      <c r="D17" s="195"/>
      <c r="E17" s="24"/>
      <c r="F17" s="5" t="s">
        <v>4</v>
      </c>
      <c r="G17" s="5"/>
      <c r="H17" s="197">
        <f>G18*5%</f>
        <v>0</v>
      </c>
    </row>
    <row r="18" spans="1:8" ht="15.6" x14ac:dyDescent="0.3">
      <c r="A18" s="3" t="s">
        <v>5</v>
      </c>
      <c r="B18" s="6"/>
      <c r="C18" s="194"/>
      <c r="D18" s="196"/>
      <c r="E18" s="25"/>
      <c r="F18" s="5" t="s">
        <v>5</v>
      </c>
      <c r="G18" s="8"/>
      <c r="H18" s="198"/>
    </row>
    <row r="19" spans="1:8" ht="9" customHeight="1" x14ac:dyDescent="0.3">
      <c r="A19" s="191"/>
      <c r="B19" s="192"/>
      <c r="C19" s="192"/>
      <c r="D19" s="192"/>
      <c r="E19" s="192"/>
      <c r="F19" s="192"/>
      <c r="G19" s="192"/>
      <c r="H19" s="192"/>
    </row>
    <row r="20" spans="1:8" ht="15.6" x14ac:dyDescent="0.3">
      <c r="A20" s="3" t="s">
        <v>4</v>
      </c>
      <c r="B20" s="3"/>
      <c r="C20" s="193"/>
      <c r="D20" s="195"/>
      <c r="E20" s="24"/>
      <c r="F20" s="5" t="s">
        <v>4</v>
      </c>
      <c r="G20" s="5"/>
      <c r="H20" s="197">
        <f>G21*5%</f>
        <v>0</v>
      </c>
    </row>
    <row r="21" spans="1:8" ht="15.6" x14ac:dyDescent="0.3">
      <c r="A21" s="3" t="s">
        <v>5</v>
      </c>
      <c r="B21" s="6"/>
      <c r="C21" s="194"/>
      <c r="D21" s="196"/>
      <c r="E21" s="25"/>
      <c r="F21" s="5" t="s">
        <v>5</v>
      </c>
      <c r="G21" s="8"/>
      <c r="H21" s="198"/>
    </row>
    <row r="22" spans="1:8" ht="9" customHeight="1" x14ac:dyDescent="0.3">
      <c r="A22" s="191"/>
      <c r="B22" s="192"/>
      <c r="C22" s="192"/>
      <c r="D22" s="192"/>
      <c r="E22" s="192"/>
      <c r="F22" s="192"/>
      <c r="G22" s="192"/>
      <c r="H22" s="192"/>
    </row>
    <row r="23" spans="1:8" ht="15.6" x14ac:dyDescent="0.3">
      <c r="A23" s="3" t="s">
        <v>4</v>
      </c>
      <c r="B23" s="3"/>
      <c r="C23" s="193"/>
      <c r="D23" s="195"/>
      <c r="E23" s="24"/>
      <c r="F23" s="5" t="s">
        <v>4</v>
      </c>
      <c r="G23" s="5"/>
      <c r="H23" s="197">
        <f>G24*5%</f>
        <v>0</v>
      </c>
    </row>
    <row r="24" spans="1:8" ht="15.6" x14ac:dyDescent="0.3">
      <c r="A24" s="3" t="s">
        <v>5</v>
      </c>
      <c r="B24" s="6"/>
      <c r="C24" s="194"/>
      <c r="D24" s="196"/>
      <c r="E24" s="25"/>
      <c r="F24" s="5" t="s">
        <v>5</v>
      </c>
      <c r="G24" s="8"/>
      <c r="H24" s="198"/>
    </row>
    <row r="25" spans="1:8" ht="9" customHeight="1" x14ac:dyDescent="0.3">
      <c r="A25" s="191"/>
      <c r="B25" s="192"/>
      <c r="C25" s="192"/>
      <c r="D25" s="192"/>
      <c r="E25" s="192"/>
      <c r="F25" s="192"/>
      <c r="G25" s="192"/>
      <c r="H25" s="192"/>
    </row>
    <row r="26" spans="1:8" ht="15.6" x14ac:dyDescent="0.3">
      <c r="A26" s="3" t="s">
        <v>4</v>
      </c>
      <c r="B26" s="3"/>
      <c r="C26" s="193"/>
      <c r="D26" s="195"/>
      <c r="E26" s="24"/>
      <c r="F26" s="5" t="s">
        <v>4</v>
      </c>
      <c r="G26" s="5"/>
      <c r="H26" s="197">
        <f>G27*5%</f>
        <v>0</v>
      </c>
    </row>
    <row r="27" spans="1:8" ht="15.6" x14ac:dyDescent="0.3">
      <c r="A27" s="3" t="s">
        <v>5</v>
      </c>
      <c r="B27" s="6"/>
      <c r="C27" s="194"/>
      <c r="D27" s="196"/>
      <c r="E27" s="25"/>
      <c r="F27" s="5" t="s">
        <v>5</v>
      </c>
      <c r="G27" s="8"/>
      <c r="H27" s="198"/>
    </row>
    <row r="28" spans="1:8" ht="9" customHeight="1" x14ac:dyDescent="0.3">
      <c r="A28" s="191"/>
      <c r="B28" s="192"/>
      <c r="C28" s="192"/>
      <c r="D28" s="192"/>
      <c r="E28" s="192"/>
      <c r="F28" s="192"/>
      <c r="G28" s="192"/>
      <c r="H28" s="192"/>
    </row>
    <row r="29" spans="1:8" ht="15.6" x14ac:dyDescent="0.3">
      <c r="A29" s="3" t="s">
        <v>4</v>
      </c>
      <c r="B29" s="3"/>
      <c r="C29" s="193"/>
      <c r="D29" s="195"/>
      <c r="E29" s="24"/>
      <c r="F29" s="5" t="s">
        <v>4</v>
      </c>
      <c r="G29" s="5"/>
      <c r="H29" s="197">
        <f>G30*5%</f>
        <v>0</v>
      </c>
    </row>
    <row r="30" spans="1:8" ht="15.6" x14ac:dyDescent="0.3">
      <c r="A30" s="3" t="s">
        <v>5</v>
      </c>
      <c r="B30" s="6"/>
      <c r="C30" s="194"/>
      <c r="D30" s="196"/>
      <c r="E30" s="25"/>
      <c r="F30" s="5" t="s">
        <v>5</v>
      </c>
      <c r="G30" s="8"/>
      <c r="H30" s="198"/>
    </row>
    <row r="31" spans="1:8" ht="9" customHeight="1" x14ac:dyDescent="0.3">
      <c r="A31" s="191"/>
      <c r="B31" s="192"/>
      <c r="C31" s="192"/>
      <c r="D31" s="192"/>
      <c r="E31" s="192"/>
      <c r="F31" s="192"/>
      <c r="G31" s="192"/>
      <c r="H31" s="192"/>
    </row>
    <row r="32" spans="1:8" ht="15.6" x14ac:dyDescent="0.3">
      <c r="A32" s="3" t="s">
        <v>4</v>
      </c>
      <c r="B32" s="3"/>
      <c r="C32" s="193"/>
      <c r="D32" s="195"/>
      <c r="E32" s="24"/>
      <c r="F32" s="5" t="s">
        <v>4</v>
      </c>
      <c r="G32" s="5"/>
      <c r="H32" s="197">
        <f>G33*5%</f>
        <v>0</v>
      </c>
    </row>
    <row r="33" spans="1:8" ht="15.6" x14ac:dyDescent="0.3">
      <c r="A33" s="3" t="s">
        <v>5</v>
      </c>
      <c r="B33" s="6"/>
      <c r="C33" s="194"/>
      <c r="D33" s="196"/>
      <c r="E33" s="25"/>
      <c r="F33" s="5" t="s">
        <v>5</v>
      </c>
      <c r="G33" s="8"/>
      <c r="H33" s="198"/>
    </row>
    <row r="34" spans="1:8" ht="9" customHeight="1" x14ac:dyDescent="0.3">
      <c r="A34" s="191"/>
      <c r="B34" s="192"/>
      <c r="C34" s="192"/>
      <c r="D34" s="192"/>
      <c r="E34" s="192"/>
      <c r="F34" s="192"/>
      <c r="G34" s="192"/>
      <c r="H34" s="192"/>
    </row>
    <row r="35" spans="1:8" ht="15.6" x14ac:dyDescent="0.3">
      <c r="A35" s="3" t="s">
        <v>4</v>
      </c>
      <c r="B35" s="3"/>
      <c r="C35" s="193"/>
      <c r="D35" s="195"/>
      <c r="E35" s="24"/>
      <c r="F35" s="5" t="s">
        <v>4</v>
      </c>
      <c r="G35" s="5"/>
      <c r="H35" s="197">
        <f>G36*5%</f>
        <v>0</v>
      </c>
    </row>
    <row r="36" spans="1:8" ht="15.6" x14ac:dyDescent="0.3">
      <c r="A36" s="3" t="s">
        <v>5</v>
      </c>
      <c r="B36" s="6"/>
      <c r="C36" s="194"/>
      <c r="D36" s="196"/>
      <c r="E36" s="25"/>
      <c r="F36" s="5" t="s">
        <v>5</v>
      </c>
      <c r="G36" s="8"/>
      <c r="H36" s="198"/>
    </row>
    <row r="37" spans="1:8" ht="9" customHeight="1" x14ac:dyDescent="0.3">
      <c r="A37" s="191"/>
      <c r="B37" s="192"/>
      <c r="C37" s="192"/>
      <c r="D37" s="192"/>
      <c r="E37" s="192"/>
      <c r="F37" s="192"/>
      <c r="G37" s="192"/>
      <c r="H37" s="192"/>
    </row>
    <row r="38" spans="1:8" ht="15.6" x14ac:dyDescent="0.3">
      <c r="A38" s="3" t="s">
        <v>4</v>
      </c>
      <c r="B38" s="3"/>
      <c r="C38" s="193"/>
      <c r="D38" s="195"/>
      <c r="E38" s="24"/>
      <c r="F38" s="5" t="s">
        <v>4</v>
      </c>
      <c r="G38" s="5"/>
      <c r="H38" s="197">
        <f>G39*5%</f>
        <v>0</v>
      </c>
    </row>
    <row r="39" spans="1:8" ht="15.6" x14ac:dyDescent="0.3">
      <c r="A39" s="3" t="s">
        <v>5</v>
      </c>
      <c r="B39" s="6"/>
      <c r="C39" s="194"/>
      <c r="D39" s="196"/>
      <c r="E39" s="25"/>
      <c r="F39" s="5" t="s">
        <v>5</v>
      </c>
      <c r="G39" s="8"/>
      <c r="H39" s="198"/>
    </row>
    <row r="40" spans="1:8" ht="9" customHeight="1" x14ac:dyDescent="0.3">
      <c r="A40" s="191"/>
      <c r="B40" s="192"/>
      <c r="C40" s="192"/>
      <c r="D40" s="192"/>
      <c r="E40" s="192"/>
      <c r="F40" s="192"/>
      <c r="G40" s="192"/>
      <c r="H40" s="192"/>
    </row>
    <row r="41" spans="1:8" ht="15.6" x14ac:dyDescent="0.3">
      <c r="A41" s="3" t="s">
        <v>4</v>
      </c>
      <c r="B41" s="3"/>
      <c r="C41" s="193"/>
      <c r="D41" s="195"/>
      <c r="E41" s="24"/>
      <c r="F41" s="5" t="s">
        <v>4</v>
      </c>
      <c r="G41" s="5"/>
      <c r="H41" s="197">
        <f>G42*5%</f>
        <v>0</v>
      </c>
    </row>
    <row r="42" spans="1:8" ht="15.6" x14ac:dyDescent="0.3">
      <c r="A42" s="3" t="s">
        <v>5</v>
      </c>
      <c r="B42" s="6"/>
      <c r="C42" s="194"/>
      <c r="D42" s="196"/>
      <c r="E42" s="25"/>
      <c r="F42" s="5" t="s">
        <v>5</v>
      </c>
      <c r="G42" s="8"/>
      <c r="H42" s="198"/>
    </row>
    <row r="43" spans="1:8" ht="9" customHeight="1" x14ac:dyDescent="0.3">
      <c r="A43" s="191"/>
      <c r="B43" s="192"/>
      <c r="C43" s="192"/>
      <c r="D43" s="192"/>
      <c r="E43" s="192"/>
      <c r="F43" s="192"/>
      <c r="G43" s="192"/>
      <c r="H43" s="192"/>
    </row>
    <row r="44" spans="1:8" ht="15.6" x14ac:dyDescent="0.3">
      <c r="A44" s="3" t="s">
        <v>4</v>
      </c>
      <c r="B44" s="3"/>
      <c r="C44" s="193"/>
      <c r="D44" s="195"/>
      <c r="E44" s="24"/>
      <c r="F44" s="5" t="s">
        <v>4</v>
      </c>
      <c r="G44" s="5"/>
      <c r="H44" s="197">
        <f>G45*5%</f>
        <v>0</v>
      </c>
    </row>
    <row r="45" spans="1:8" ht="15.6" x14ac:dyDescent="0.3">
      <c r="A45" s="3" t="s">
        <v>5</v>
      </c>
      <c r="B45" s="6"/>
      <c r="C45" s="194"/>
      <c r="D45" s="196"/>
      <c r="E45" s="25"/>
      <c r="F45" s="5" t="s">
        <v>5</v>
      </c>
      <c r="G45" s="8"/>
      <c r="H45" s="198"/>
    </row>
    <row r="46" spans="1:8" ht="9" customHeight="1" x14ac:dyDescent="0.3">
      <c r="A46" s="191"/>
      <c r="B46" s="192"/>
      <c r="C46" s="192"/>
      <c r="D46" s="192"/>
      <c r="E46" s="192"/>
      <c r="F46" s="192"/>
      <c r="G46" s="192"/>
      <c r="H46" s="192"/>
    </row>
    <row r="47" spans="1:8" ht="15.6" x14ac:dyDescent="0.3">
      <c r="A47" s="3" t="s">
        <v>4</v>
      </c>
      <c r="B47" s="3"/>
      <c r="C47" s="193"/>
      <c r="D47" s="195"/>
      <c r="E47" s="24"/>
      <c r="F47" s="5" t="s">
        <v>4</v>
      </c>
      <c r="G47" s="5"/>
      <c r="H47" s="197">
        <f>G48*5%</f>
        <v>0</v>
      </c>
    </row>
    <row r="48" spans="1:8" ht="15.6" x14ac:dyDescent="0.3">
      <c r="A48" s="3" t="s">
        <v>5</v>
      </c>
      <c r="B48" s="6"/>
      <c r="C48" s="194"/>
      <c r="D48" s="196"/>
      <c r="E48" s="25"/>
      <c r="F48" s="5" t="s">
        <v>5</v>
      </c>
      <c r="G48" s="8"/>
      <c r="H48" s="198"/>
    </row>
    <row r="49" spans="1:8" ht="9" customHeight="1" x14ac:dyDescent="0.3">
      <c r="A49" s="191"/>
      <c r="B49" s="192"/>
      <c r="C49" s="192"/>
      <c r="D49" s="192"/>
      <c r="E49" s="192"/>
      <c r="F49" s="192"/>
      <c r="G49" s="192"/>
      <c r="H49" s="192"/>
    </row>
    <row r="50" spans="1:8" ht="15.6" x14ac:dyDescent="0.3">
      <c r="A50" s="3" t="s">
        <v>4</v>
      </c>
      <c r="B50" s="3"/>
      <c r="C50" s="193"/>
      <c r="D50" s="195"/>
      <c r="E50" s="24"/>
      <c r="F50" s="5" t="s">
        <v>4</v>
      </c>
      <c r="G50" s="5"/>
      <c r="H50" s="197">
        <f>G51*5%</f>
        <v>0</v>
      </c>
    </row>
    <row r="51" spans="1:8" ht="15.6" x14ac:dyDescent="0.3">
      <c r="A51" s="3" t="s">
        <v>5</v>
      </c>
      <c r="B51" s="6"/>
      <c r="C51" s="194"/>
      <c r="D51" s="196"/>
      <c r="E51" s="25"/>
      <c r="F51" s="5" t="s">
        <v>5</v>
      </c>
      <c r="G51" s="8"/>
      <c r="H51" s="198"/>
    </row>
    <row r="52" spans="1:8" ht="9" customHeight="1" x14ac:dyDescent="0.3">
      <c r="A52" s="191"/>
      <c r="B52" s="192"/>
      <c r="C52" s="192"/>
      <c r="D52" s="192"/>
      <c r="E52" s="192"/>
      <c r="F52" s="192"/>
      <c r="G52" s="192"/>
      <c r="H52" s="192"/>
    </row>
    <row r="53" spans="1:8" ht="15.6" x14ac:dyDescent="0.3">
      <c r="A53" s="3" t="s">
        <v>4</v>
      </c>
      <c r="B53" s="3"/>
      <c r="C53" s="193"/>
      <c r="D53" s="195"/>
      <c r="E53" s="24"/>
      <c r="F53" s="5" t="s">
        <v>4</v>
      </c>
      <c r="G53" s="5"/>
      <c r="H53" s="197">
        <f>G54*5%</f>
        <v>0</v>
      </c>
    </row>
    <row r="54" spans="1:8" ht="15.6" x14ac:dyDescent="0.3">
      <c r="A54" s="3" t="s">
        <v>5</v>
      </c>
      <c r="B54" s="6"/>
      <c r="C54" s="194"/>
      <c r="D54" s="196"/>
      <c r="E54" s="25"/>
      <c r="F54" s="5" t="s">
        <v>5</v>
      </c>
      <c r="G54" s="8"/>
      <c r="H54" s="198"/>
    </row>
    <row r="55" spans="1:8" ht="9" customHeight="1" x14ac:dyDescent="0.3">
      <c r="A55" s="191"/>
      <c r="B55" s="192"/>
      <c r="C55" s="192"/>
      <c r="D55" s="192"/>
      <c r="E55" s="192"/>
      <c r="F55" s="192"/>
      <c r="G55" s="192"/>
      <c r="H55" s="192"/>
    </row>
    <row r="56" spans="1:8" ht="15.6" x14ac:dyDescent="0.3">
      <c r="A56" s="3" t="s">
        <v>4</v>
      </c>
      <c r="B56" s="3"/>
      <c r="C56" s="193"/>
      <c r="D56" s="195"/>
      <c r="E56" s="24"/>
      <c r="F56" s="5" t="s">
        <v>4</v>
      </c>
      <c r="G56" s="5"/>
      <c r="H56" s="197">
        <f>G57*5%</f>
        <v>0</v>
      </c>
    </row>
    <row r="57" spans="1:8" ht="15.6" x14ac:dyDescent="0.3">
      <c r="A57" s="3" t="s">
        <v>5</v>
      </c>
      <c r="B57" s="6"/>
      <c r="C57" s="194"/>
      <c r="D57" s="196"/>
      <c r="E57" s="25"/>
      <c r="F57" s="5" t="s">
        <v>5</v>
      </c>
      <c r="G57" s="8"/>
      <c r="H57" s="198"/>
    </row>
    <row r="58" spans="1:8" ht="9" customHeight="1" x14ac:dyDescent="0.3">
      <c r="A58" s="191"/>
      <c r="B58" s="192"/>
      <c r="C58" s="192"/>
      <c r="D58" s="192"/>
      <c r="E58" s="192"/>
      <c r="F58" s="192"/>
      <c r="G58" s="192"/>
      <c r="H58" s="192"/>
    </row>
    <row r="59" spans="1:8" ht="15.6" x14ac:dyDescent="0.3">
      <c r="A59" s="3" t="s">
        <v>4</v>
      </c>
      <c r="B59" s="3"/>
      <c r="C59" s="193"/>
      <c r="D59" s="195"/>
      <c r="E59" s="24"/>
      <c r="F59" s="5" t="s">
        <v>4</v>
      </c>
      <c r="G59" s="5"/>
      <c r="H59" s="197">
        <f>G60*5%</f>
        <v>0</v>
      </c>
    </row>
    <row r="60" spans="1:8" ht="15.6" x14ac:dyDescent="0.3">
      <c r="A60" s="3" t="s">
        <v>5</v>
      </c>
      <c r="B60" s="6"/>
      <c r="C60" s="194"/>
      <c r="D60" s="196"/>
      <c r="E60" s="25"/>
      <c r="F60" s="5" t="s">
        <v>5</v>
      </c>
      <c r="G60" s="8"/>
      <c r="H60" s="198"/>
    </row>
    <row r="61" spans="1:8" ht="9" customHeight="1" x14ac:dyDescent="0.3">
      <c r="A61" s="191"/>
      <c r="B61" s="192"/>
      <c r="C61" s="192"/>
      <c r="D61" s="192"/>
      <c r="E61" s="192"/>
      <c r="F61" s="192"/>
      <c r="G61" s="192"/>
      <c r="H61" s="192"/>
    </row>
    <row r="62" spans="1:8" ht="15.6" x14ac:dyDescent="0.3">
      <c r="A62" s="3" t="s">
        <v>4</v>
      </c>
      <c r="B62" s="3"/>
      <c r="C62" s="193"/>
      <c r="D62" s="195"/>
      <c r="E62" s="24"/>
      <c r="F62" s="5" t="s">
        <v>4</v>
      </c>
      <c r="G62" s="5"/>
      <c r="H62" s="197">
        <f>G63*5%</f>
        <v>0</v>
      </c>
    </row>
    <row r="63" spans="1:8" ht="15.6" x14ac:dyDescent="0.3">
      <c r="A63" s="3" t="s">
        <v>5</v>
      </c>
      <c r="B63" s="6"/>
      <c r="C63" s="194"/>
      <c r="D63" s="196"/>
      <c r="E63" s="25"/>
      <c r="F63" s="5" t="s">
        <v>5</v>
      </c>
      <c r="G63" s="8"/>
      <c r="H63" s="198"/>
    </row>
    <row r="64" spans="1:8" ht="9" customHeight="1" x14ac:dyDescent="0.3">
      <c r="A64" s="191"/>
      <c r="B64" s="192"/>
      <c r="C64" s="192"/>
      <c r="D64" s="192"/>
      <c r="E64" s="192"/>
      <c r="F64" s="192"/>
      <c r="G64" s="192"/>
      <c r="H64" s="192"/>
    </row>
    <row r="65" spans="1:8" ht="15.6" x14ac:dyDescent="0.3">
      <c r="A65" s="3" t="s">
        <v>4</v>
      </c>
      <c r="B65" s="3"/>
      <c r="C65" s="193"/>
      <c r="D65" s="195"/>
      <c r="E65" s="24"/>
      <c r="F65" s="5" t="s">
        <v>4</v>
      </c>
      <c r="G65" s="5"/>
      <c r="H65" s="197">
        <f>G66*5%</f>
        <v>0</v>
      </c>
    </row>
    <row r="66" spans="1:8" ht="15.6" x14ac:dyDescent="0.3">
      <c r="A66" s="3" t="s">
        <v>5</v>
      </c>
      <c r="B66" s="6"/>
      <c r="C66" s="194"/>
      <c r="D66" s="196"/>
      <c r="E66" s="25"/>
      <c r="F66" s="5" t="s">
        <v>5</v>
      </c>
      <c r="G66" s="8"/>
      <c r="H66" s="198"/>
    </row>
    <row r="67" spans="1:8" ht="9" customHeight="1" x14ac:dyDescent="0.3">
      <c r="A67" s="191"/>
      <c r="B67" s="192"/>
      <c r="C67" s="192"/>
      <c r="D67" s="192"/>
      <c r="E67" s="192"/>
      <c r="F67" s="192"/>
      <c r="G67" s="192"/>
      <c r="H67" s="192"/>
    </row>
    <row r="68" spans="1:8" ht="15.6" x14ac:dyDescent="0.3">
      <c r="A68" s="3" t="s">
        <v>4</v>
      </c>
      <c r="B68" s="3"/>
      <c r="C68" s="193"/>
      <c r="D68" s="195"/>
      <c r="E68" s="24"/>
      <c r="F68" s="5" t="s">
        <v>4</v>
      </c>
      <c r="G68" s="5"/>
      <c r="H68" s="197">
        <f>G69*5%</f>
        <v>0</v>
      </c>
    </row>
    <row r="69" spans="1:8" ht="15.6" x14ac:dyDescent="0.3">
      <c r="A69" s="3" t="s">
        <v>5</v>
      </c>
      <c r="B69" s="6"/>
      <c r="C69" s="194"/>
      <c r="D69" s="196"/>
      <c r="E69" s="25"/>
      <c r="F69" s="5" t="s">
        <v>5</v>
      </c>
      <c r="G69" s="8"/>
      <c r="H69" s="198"/>
    </row>
    <row r="70" spans="1:8" ht="9" customHeight="1" x14ac:dyDescent="0.3">
      <c r="A70" s="191"/>
      <c r="B70" s="192"/>
      <c r="C70" s="192"/>
      <c r="D70" s="192"/>
      <c r="E70" s="192"/>
      <c r="F70" s="192"/>
      <c r="G70" s="192"/>
      <c r="H70" s="192"/>
    </row>
    <row r="71" spans="1:8" ht="15.6" x14ac:dyDescent="0.3">
      <c r="A71" s="3" t="s">
        <v>4</v>
      </c>
      <c r="B71" s="3"/>
      <c r="C71" s="193"/>
      <c r="D71" s="195"/>
      <c r="E71" s="24"/>
      <c r="F71" s="5" t="s">
        <v>4</v>
      </c>
      <c r="G71" s="5"/>
      <c r="H71" s="197">
        <f>G72*5%</f>
        <v>0</v>
      </c>
    </row>
    <row r="72" spans="1:8" ht="15.6" x14ac:dyDescent="0.3">
      <c r="A72" s="3" t="s">
        <v>5</v>
      </c>
      <c r="B72" s="6"/>
      <c r="C72" s="194"/>
      <c r="D72" s="196"/>
      <c r="E72" s="25"/>
      <c r="F72" s="5" t="s">
        <v>5</v>
      </c>
      <c r="G72" s="8"/>
      <c r="H72" s="198"/>
    </row>
    <row r="73" spans="1:8" ht="9" customHeight="1" x14ac:dyDescent="0.3">
      <c r="A73" s="191"/>
      <c r="B73" s="192"/>
      <c r="C73" s="192"/>
      <c r="D73" s="192"/>
      <c r="E73" s="192"/>
      <c r="F73" s="192"/>
      <c r="G73" s="192"/>
      <c r="H73" s="192"/>
    </row>
    <row r="74" spans="1:8" ht="15.6" x14ac:dyDescent="0.3">
      <c r="A74" s="3" t="s">
        <v>4</v>
      </c>
      <c r="B74" s="3"/>
      <c r="C74" s="193"/>
      <c r="D74" s="195"/>
      <c r="E74" s="24"/>
      <c r="F74" s="5" t="s">
        <v>4</v>
      </c>
      <c r="G74" s="5"/>
      <c r="H74" s="197">
        <f>G75*5%</f>
        <v>0</v>
      </c>
    </row>
    <row r="75" spans="1:8" ht="15.6" x14ac:dyDescent="0.3">
      <c r="A75" s="3" t="s">
        <v>5</v>
      </c>
      <c r="B75" s="6"/>
      <c r="C75" s="194"/>
      <c r="D75" s="196"/>
      <c r="E75" s="25"/>
      <c r="F75" s="5" t="s">
        <v>5</v>
      </c>
      <c r="G75" s="8"/>
      <c r="H75" s="198"/>
    </row>
    <row r="76" spans="1:8" ht="9" customHeight="1" x14ac:dyDescent="0.3">
      <c r="A76" s="191"/>
      <c r="B76" s="192"/>
      <c r="C76" s="192"/>
      <c r="D76" s="192"/>
      <c r="E76" s="192"/>
      <c r="F76" s="192"/>
      <c r="G76" s="192"/>
      <c r="H76" s="192"/>
    </row>
    <row r="77" spans="1:8" ht="15.6" x14ac:dyDescent="0.3">
      <c r="A77" s="3" t="s">
        <v>4</v>
      </c>
      <c r="B77" s="3"/>
      <c r="C77" s="193"/>
      <c r="D77" s="195"/>
      <c r="E77" s="24"/>
      <c r="F77" s="5" t="s">
        <v>4</v>
      </c>
      <c r="G77" s="5"/>
      <c r="H77" s="197">
        <f>G78*5%</f>
        <v>0</v>
      </c>
    </row>
    <row r="78" spans="1:8" ht="15.6" x14ac:dyDescent="0.3">
      <c r="A78" s="3" t="s">
        <v>5</v>
      </c>
      <c r="B78" s="6"/>
      <c r="C78" s="194"/>
      <c r="D78" s="196"/>
      <c r="E78" s="25"/>
      <c r="F78" s="5" t="s">
        <v>5</v>
      </c>
      <c r="G78" s="8"/>
      <c r="H78" s="198"/>
    </row>
    <row r="79" spans="1:8" ht="9" customHeight="1" x14ac:dyDescent="0.3">
      <c r="A79" s="191"/>
      <c r="B79" s="192"/>
      <c r="C79" s="192"/>
      <c r="D79" s="192"/>
      <c r="E79" s="192"/>
      <c r="F79" s="192"/>
      <c r="G79" s="192"/>
      <c r="H79" s="192"/>
    </row>
    <row r="80" spans="1:8" ht="15.6" x14ac:dyDescent="0.3">
      <c r="A80" s="3" t="s">
        <v>4</v>
      </c>
      <c r="B80" s="3"/>
      <c r="C80" s="193"/>
      <c r="D80" s="195"/>
      <c r="E80" s="24"/>
      <c r="F80" s="5" t="s">
        <v>4</v>
      </c>
      <c r="G80" s="5"/>
      <c r="H80" s="197">
        <f>G81*5%</f>
        <v>0</v>
      </c>
    </row>
    <row r="81" spans="1:8" ht="15.6" x14ac:dyDescent="0.3">
      <c r="A81" s="3" t="s">
        <v>5</v>
      </c>
      <c r="B81" s="6"/>
      <c r="C81" s="194"/>
      <c r="D81" s="196"/>
      <c r="E81" s="25"/>
      <c r="F81" s="5" t="s">
        <v>5</v>
      </c>
      <c r="G81" s="8"/>
      <c r="H81" s="198"/>
    </row>
    <row r="82" spans="1:8" ht="9" customHeight="1" x14ac:dyDescent="0.3">
      <c r="A82" s="191"/>
      <c r="B82" s="192"/>
      <c r="C82" s="192"/>
      <c r="D82" s="192"/>
      <c r="E82" s="192"/>
      <c r="F82" s="192"/>
      <c r="G82" s="192"/>
      <c r="H82" s="192"/>
    </row>
    <row r="83" spans="1:8" ht="15.6" x14ac:dyDescent="0.3">
      <c r="A83" s="3" t="s">
        <v>4</v>
      </c>
      <c r="B83" s="3"/>
      <c r="C83" s="193"/>
      <c r="D83" s="195"/>
      <c r="E83" s="24"/>
      <c r="F83" s="5" t="s">
        <v>4</v>
      </c>
      <c r="G83" s="5"/>
      <c r="H83" s="197">
        <f>G84*5%</f>
        <v>0</v>
      </c>
    </row>
    <row r="84" spans="1:8" ht="15.6" x14ac:dyDescent="0.3">
      <c r="A84" s="3" t="s">
        <v>5</v>
      </c>
      <c r="B84" s="6"/>
      <c r="C84" s="194"/>
      <c r="D84" s="196"/>
      <c r="E84" s="25"/>
      <c r="F84" s="5" t="s">
        <v>5</v>
      </c>
      <c r="G84" s="8"/>
      <c r="H84" s="198"/>
    </row>
    <row r="85" spans="1:8" ht="9" customHeight="1" x14ac:dyDescent="0.3">
      <c r="A85" s="191"/>
      <c r="B85" s="192"/>
      <c r="C85" s="192"/>
      <c r="D85" s="192"/>
      <c r="E85" s="192"/>
      <c r="F85" s="192"/>
      <c r="G85" s="192"/>
      <c r="H85" s="192"/>
    </row>
    <row r="86" spans="1:8" ht="15.6" x14ac:dyDescent="0.3">
      <c r="A86" s="3" t="s">
        <v>4</v>
      </c>
      <c r="B86" s="3"/>
      <c r="C86" s="193"/>
      <c r="D86" s="195"/>
      <c r="E86" s="24"/>
      <c r="F86" s="5" t="s">
        <v>4</v>
      </c>
      <c r="G86" s="5"/>
      <c r="H86" s="197">
        <f>G87*5%</f>
        <v>0</v>
      </c>
    </row>
    <row r="87" spans="1:8" ht="15.6" x14ac:dyDescent="0.3">
      <c r="A87" s="3" t="s">
        <v>5</v>
      </c>
      <c r="B87" s="6"/>
      <c r="C87" s="194"/>
      <c r="D87" s="196"/>
      <c r="E87" s="25"/>
      <c r="F87" s="5" t="s">
        <v>5</v>
      </c>
      <c r="G87" s="8"/>
      <c r="H87" s="198"/>
    </row>
    <row r="88" spans="1:8" ht="9" customHeight="1" x14ac:dyDescent="0.3">
      <c r="A88" s="191"/>
      <c r="B88" s="192"/>
      <c r="C88" s="192"/>
      <c r="D88" s="192"/>
      <c r="E88" s="192"/>
      <c r="F88" s="192"/>
      <c r="G88" s="192"/>
      <c r="H88" s="192"/>
    </row>
    <row r="89" spans="1:8" ht="15.6" x14ac:dyDescent="0.3">
      <c r="A89" s="3" t="s">
        <v>4</v>
      </c>
      <c r="B89" s="3"/>
      <c r="C89" s="193"/>
      <c r="D89" s="195"/>
      <c r="E89" s="24"/>
      <c r="F89" s="5" t="s">
        <v>4</v>
      </c>
      <c r="G89" s="5"/>
      <c r="H89" s="197">
        <f>G90*5%</f>
        <v>0</v>
      </c>
    </row>
    <row r="90" spans="1:8" ht="15.6" x14ac:dyDescent="0.3">
      <c r="A90" s="3" t="s">
        <v>5</v>
      </c>
      <c r="B90" s="6"/>
      <c r="C90" s="194"/>
      <c r="D90" s="196"/>
      <c r="E90" s="25"/>
      <c r="F90" s="5" t="s">
        <v>5</v>
      </c>
      <c r="G90" s="8"/>
      <c r="H90" s="198"/>
    </row>
    <row r="91" spans="1:8" ht="9" customHeight="1" x14ac:dyDescent="0.3">
      <c r="A91" s="191"/>
      <c r="B91" s="192"/>
      <c r="C91" s="192"/>
      <c r="D91" s="192"/>
      <c r="E91" s="192"/>
      <c r="F91" s="199"/>
      <c r="G91" s="199"/>
      <c r="H91" s="199"/>
    </row>
    <row r="92" spans="1:8" ht="16.2" thickBot="1" x14ac:dyDescent="0.35">
      <c r="F92" s="12" t="s">
        <v>13</v>
      </c>
      <c r="G92" s="14">
        <f>SUM(G90,G87,G84,G81,G78,G75,G72,G69,G66,G63,G60,G57,G54,G51,G48,G45,G42,G39,G36,G33,G30,G27,G24,G21,G18,G15,G12,G9,G6,G3)</f>
        <v>0</v>
      </c>
      <c r="H92" s="13" t="s">
        <v>14</v>
      </c>
    </row>
    <row r="93" spans="1:8" ht="18.600000000000001" thickBot="1" x14ac:dyDescent="0.4">
      <c r="H93" s="132">
        <f>H2+H5+H8+H11+H14+H17+H20+H23+H26+H29+H32+H35+H38+H41+H44+H47+H50+H53+H56+H59+H62+H65+H68+H71+H74+H77+H80+H83+H86+H89</f>
        <v>0</v>
      </c>
    </row>
  </sheetData>
  <mergeCells count="127">
    <mergeCell ref="A91:H91"/>
    <mergeCell ref="A85:H85"/>
    <mergeCell ref="C86:C87"/>
    <mergeCell ref="D86:D87"/>
    <mergeCell ref="H86:H87"/>
    <mergeCell ref="A88:H88"/>
    <mergeCell ref="C80:C81"/>
    <mergeCell ref="D80:D81"/>
    <mergeCell ref="H80:H81"/>
    <mergeCell ref="A82:H82"/>
    <mergeCell ref="C83:C84"/>
    <mergeCell ref="D83:D84"/>
    <mergeCell ref="H83:H84"/>
    <mergeCell ref="C89:C90"/>
    <mergeCell ref="D89:D90"/>
    <mergeCell ref="H89:H90"/>
    <mergeCell ref="A76:H76"/>
    <mergeCell ref="C77:C78"/>
    <mergeCell ref="D77:D78"/>
    <mergeCell ref="H77:H78"/>
    <mergeCell ref="A79:H79"/>
    <mergeCell ref="C71:C72"/>
    <mergeCell ref="D71:D72"/>
    <mergeCell ref="H71:H72"/>
    <mergeCell ref="A73:H73"/>
    <mergeCell ref="C74:C75"/>
    <mergeCell ref="D74:D75"/>
    <mergeCell ref="H74:H75"/>
    <mergeCell ref="A67:H67"/>
    <mergeCell ref="C68:C69"/>
    <mergeCell ref="D68:D69"/>
    <mergeCell ref="H68:H69"/>
    <mergeCell ref="A70:H70"/>
    <mergeCell ref="C62:C63"/>
    <mergeCell ref="D62:D63"/>
    <mergeCell ref="H62:H63"/>
    <mergeCell ref="A64:H64"/>
    <mergeCell ref="C65:C66"/>
    <mergeCell ref="D65:D66"/>
    <mergeCell ref="H65:H66"/>
    <mergeCell ref="A58:H58"/>
    <mergeCell ref="C59:C60"/>
    <mergeCell ref="D59:D60"/>
    <mergeCell ref="H59:H60"/>
    <mergeCell ref="A61:H61"/>
    <mergeCell ref="C53:C54"/>
    <mergeCell ref="D53:D54"/>
    <mergeCell ref="H53:H54"/>
    <mergeCell ref="A55:H55"/>
    <mergeCell ref="C56:C57"/>
    <mergeCell ref="D56:D57"/>
    <mergeCell ref="H56:H57"/>
    <mergeCell ref="A49:H49"/>
    <mergeCell ref="C50:C51"/>
    <mergeCell ref="D50:D51"/>
    <mergeCell ref="H50:H51"/>
    <mergeCell ref="A52:H52"/>
    <mergeCell ref="C44:C45"/>
    <mergeCell ref="D44:D45"/>
    <mergeCell ref="H44:H45"/>
    <mergeCell ref="A46:H46"/>
    <mergeCell ref="C47:C48"/>
    <mergeCell ref="D47:D48"/>
    <mergeCell ref="H47:H48"/>
    <mergeCell ref="A40:H40"/>
    <mergeCell ref="C41:C42"/>
    <mergeCell ref="D41:D42"/>
    <mergeCell ref="H41:H42"/>
    <mergeCell ref="A43:H43"/>
    <mergeCell ref="C35:C36"/>
    <mergeCell ref="D35:D36"/>
    <mergeCell ref="H35:H36"/>
    <mergeCell ref="A37:H37"/>
    <mergeCell ref="C38:C39"/>
    <mergeCell ref="D38:D39"/>
    <mergeCell ref="H38:H39"/>
    <mergeCell ref="C32:C33"/>
    <mergeCell ref="D32:D33"/>
    <mergeCell ref="H32:H33"/>
    <mergeCell ref="A34:H34"/>
    <mergeCell ref="C26:C27"/>
    <mergeCell ref="D26:D27"/>
    <mergeCell ref="H26:H27"/>
    <mergeCell ref="A28:H28"/>
    <mergeCell ref="C29:C30"/>
    <mergeCell ref="D29:D30"/>
    <mergeCell ref="H29:H30"/>
    <mergeCell ref="A25:H25"/>
    <mergeCell ref="C17:C18"/>
    <mergeCell ref="D17:D18"/>
    <mergeCell ref="H17:H18"/>
    <mergeCell ref="A19:H19"/>
    <mergeCell ref="C20:C21"/>
    <mergeCell ref="D20:D21"/>
    <mergeCell ref="H20:H21"/>
    <mergeCell ref="A31:H31"/>
    <mergeCell ref="A16:H16"/>
    <mergeCell ref="A10:H10"/>
    <mergeCell ref="C11:C12"/>
    <mergeCell ref="D11:D12"/>
    <mergeCell ref="E11:E12"/>
    <mergeCell ref="H11:H12"/>
    <mergeCell ref="A22:H22"/>
    <mergeCell ref="C23:C24"/>
    <mergeCell ref="D23:D24"/>
    <mergeCell ref="H23:H24"/>
    <mergeCell ref="J4:L5"/>
    <mergeCell ref="C5:C6"/>
    <mergeCell ref="D5:D6"/>
    <mergeCell ref="E5:E6"/>
    <mergeCell ref="H5:H6"/>
    <mergeCell ref="A13:H13"/>
    <mergeCell ref="C14:C15"/>
    <mergeCell ref="D14:D15"/>
    <mergeCell ref="H14:H15"/>
    <mergeCell ref="A1:B1"/>
    <mergeCell ref="F1:G1"/>
    <mergeCell ref="C2:C3"/>
    <mergeCell ref="D2:D3"/>
    <mergeCell ref="E2:E3"/>
    <mergeCell ref="H2:H3"/>
    <mergeCell ref="A7:H7"/>
    <mergeCell ref="C8:C9"/>
    <mergeCell ref="D8:D9"/>
    <mergeCell ref="E8:E9"/>
    <mergeCell ref="H8:H9"/>
    <mergeCell ref="A4:H4"/>
  </mergeCells>
  <hyperlinks>
    <hyperlink ref="J4:L4" location="INICIAL!A1" display="VOLTAR À PÁGINA INICIAL"/>
    <hyperlink ref="J5:L5" location="INICIAL!A1" display="INICIAL!A1"/>
    <hyperlink ref="J4:L5" location="INICIO!A1" display="Voltar ao Inicio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80</vt:i4>
      </vt:variant>
    </vt:vector>
  </HeadingPairs>
  <TitlesOfParts>
    <vt:vector size="80" baseType="lpstr">
      <vt:lpstr>INICIO</vt:lpstr>
      <vt:lpstr>C R DOS SANTOS</vt:lpstr>
      <vt:lpstr>POESY AVIAMENTOS 0001-83</vt:lpstr>
      <vt:lpstr>POESY AVIAMENTOS 0001-37</vt:lpstr>
      <vt:lpstr>L. SOUZA</vt:lpstr>
      <vt:lpstr>JHAMBA LE COOK</vt:lpstr>
      <vt:lpstr>ELINETE JARDIM</vt:lpstr>
      <vt:lpstr>SAMUAH</vt:lpstr>
      <vt:lpstr>VALDIRENE DOS SANTOS</vt:lpstr>
      <vt:lpstr>KMRG</vt:lpstr>
      <vt:lpstr>JANE STER</vt:lpstr>
      <vt:lpstr>D.TSIANG</vt:lpstr>
      <vt:lpstr>REALZÃO IMP</vt:lpstr>
      <vt:lpstr>LOJAS MARIA</vt:lpstr>
      <vt:lpstr>V DOS SANTOS</vt:lpstr>
      <vt:lpstr>NAVIO SERVIÇOS</vt:lpstr>
      <vt:lpstr>GIULIANA CHRISTIELLE</vt:lpstr>
      <vt:lpstr>TATIANE VEGAS</vt:lpstr>
      <vt:lpstr>IPED</vt:lpstr>
      <vt:lpstr>ERICA SHIRLEY</vt:lpstr>
      <vt:lpstr>J L A HUNCA</vt:lpstr>
      <vt:lpstr>DF COMERCIO</vt:lpstr>
      <vt:lpstr>EVELINY MARIA</vt:lpstr>
      <vt:lpstr>MRC8</vt:lpstr>
      <vt:lpstr>W.LIMA</vt:lpstr>
      <vt:lpstr>REALZÃO MONICA</vt:lpstr>
      <vt:lpstr>CASA MIMO</vt:lpstr>
      <vt:lpstr>AMEI COMERCIO</vt:lpstr>
      <vt:lpstr>FRANK PAPELARIA</vt:lpstr>
      <vt:lpstr>W.CHUNMEI</vt:lpstr>
      <vt:lpstr>JANDERRUBEM</vt:lpstr>
      <vt:lpstr>BELL FIFI</vt:lpstr>
      <vt:lpstr>SUPER PART</vt:lpstr>
      <vt:lpstr>WRA</vt:lpstr>
      <vt:lpstr>RAPPY TOYS</vt:lpstr>
      <vt:lpstr>LACORDAIRE TELES</vt:lpstr>
      <vt:lpstr>GETULIO LIRA</vt:lpstr>
      <vt:lpstr>FLÁVIA COMERCIO</vt:lpstr>
      <vt:lpstr>MKS COMERCIO</vt:lpstr>
      <vt:lpstr>MAIS QUE MAKE SÃO LUIS</vt:lpstr>
      <vt:lpstr>MAIS QUE MAKE BURITICUPU</vt:lpstr>
      <vt:lpstr>PINK GLAMOUR</vt:lpstr>
      <vt:lpstr>COM. MARTINS E MARTINS</vt:lpstr>
      <vt:lpstr>FLAP KIDS</vt:lpstr>
      <vt:lpstr>SMART BUY</vt:lpstr>
      <vt:lpstr>EMBALEME COMERCIO</vt:lpstr>
      <vt:lpstr>DECAZZA COM</vt:lpstr>
      <vt:lpstr>CRIS KING BIJU</vt:lpstr>
      <vt:lpstr>COM. BRAS RAIMUNDO</vt:lpstr>
      <vt:lpstr>DISTR. GOMES LISBOA</vt:lpstr>
      <vt:lpstr>VERENA VAREJISTA</vt:lpstr>
      <vt:lpstr>LOJÃO CASA SILVA</vt:lpstr>
      <vt:lpstr>ALJATEC</vt:lpstr>
      <vt:lpstr>SKR BEZERRA</vt:lpstr>
      <vt:lpstr>FEST SHOW</vt:lpstr>
      <vt:lpstr>+ BAZAR</vt:lpstr>
      <vt:lpstr>SUPERMERCADO RODRIGUES</vt:lpstr>
      <vt:lpstr>COMERCIAL RONDONIA</vt:lpstr>
      <vt:lpstr>DELL REI</vt:lpstr>
      <vt:lpstr>2H VARIEDADES</vt:lpstr>
      <vt:lpstr>IVANETE JATAI</vt:lpstr>
      <vt:lpstr>FLAMBOYAN </vt:lpstr>
      <vt:lpstr>W SU</vt:lpstr>
      <vt:lpstr>MAIS QUE MAKE AÇAILANDIA</vt:lpstr>
      <vt:lpstr>MAIS QUE MAKE SANTAREM BIJU</vt:lpstr>
      <vt:lpstr>MAIS QUE MAKE VARZEA GRANDE</vt:lpstr>
      <vt:lpstr>MAIS QUE MAKE PARAUPEBAS</vt:lpstr>
      <vt:lpstr>MAIS QUE MAKE MARABÁ</vt:lpstr>
      <vt:lpstr>MAIS QUE MAKE IMPERATRIZ AT</vt:lpstr>
      <vt:lpstr>MAIS QUE MAKE ALTA FLORESTA</vt:lpstr>
      <vt:lpstr>MAIS QUE MAKE ALTAMIRA</vt:lpstr>
      <vt:lpstr>MAIS QUE MAKE ARAGUAINA</vt:lpstr>
      <vt:lpstr>MAIS QUE MAKE ITAITUBA</vt:lpstr>
      <vt:lpstr>MAIS QUE MAKE BALSAS</vt:lpstr>
      <vt:lpstr>CELL SOLLUTIONS</vt:lpstr>
      <vt:lpstr>MAIS QUE MAKE PARAUPEBAS AT</vt:lpstr>
      <vt:lpstr>MAIS QUE MAKE IMPERATRIZ </vt:lpstr>
      <vt:lpstr>MARIA DO PERPETUO SOCOORO</vt:lpstr>
      <vt:lpstr>CRIS MODAS</vt:lpstr>
      <vt:lpstr>MAIS QUE MAKE SANTAREM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Renan</cp:lastModifiedBy>
  <dcterms:created xsi:type="dcterms:W3CDTF">2025-03-17T20:40:55Z</dcterms:created>
  <dcterms:modified xsi:type="dcterms:W3CDTF">2026-02-26T20:43:04Z</dcterms:modified>
</cp:coreProperties>
</file>